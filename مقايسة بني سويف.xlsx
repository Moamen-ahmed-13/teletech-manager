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letecheg-my.sharepoint.com/personal/esraamohsen_teletech_com_eg/Documents/Documents/Downloads/"/>
    </mc:Choice>
  </mc:AlternateContent>
  <xr:revisionPtr revIDLastSave="1" documentId="13_ncr:1_{11E43BEA-2386-4D8D-BBE6-5A7D53AD8CAF}" xr6:coauthVersionLast="47" xr6:coauthVersionMax="47" xr10:uidLastSave="{3817B00F-5347-4F39-B73E-BB96659CA82C}"/>
  <bookViews>
    <workbookView xWindow="-120" yWindow="-120" windowWidth="20730" windowHeight="11040" xr2:uid="{00000000-000D-0000-FFFF-FFFF00000000}"/>
  </bookViews>
  <sheets>
    <sheet name="فواتير التوريد" sheetId="1" r:id="rId1"/>
    <sheet name="Sheet1" sheetId="2" r:id="rId2"/>
  </sheets>
  <definedNames>
    <definedName name="_xlnm._FilterDatabase" localSheetId="1" hidden="1">Sheet1!$A$2:$H$19</definedName>
    <definedName name="_xlnm._FilterDatabase" localSheetId="0" hidden="1">'فواتير التوريد'!$A$5:$AE$76</definedName>
    <definedName name="_Toc97557383" localSheetId="0">'فواتير التوريد'!#REF!</definedName>
    <definedName name="_xlnm.Print_Area" localSheetId="1">Sheet1!$A$2:$H$19</definedName>
    <definedName name="_xlnm.Print_Area" localSheetId="0">'فواتير التوريد'!$A$5:$J$22</definedName>
    <definedName name="_xlnm.Print_Titles" localSheetId="0">'فواتير التوريد'!$5:$5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6" i="1"/>
  <c r="H4" i="2"/>
  <c r="H5" i="2"/>
  <c r="H6" i="2"/>
  <c r="H7" i="2"/>
  <c r="H8" i="2"/>
  <c r="H9" i="2"/>
  <c r="H11" i="2"/>
  <c r="H12" i="2"/>
  <c r="H10" i="2"/>
  <c r="H13" i="2"/>
  <c r="H14" i="2"/>
  <c r="H15" i="2"/>
  <c r="H16" i="2"/>
  <c r="H17" i="2"/>
  <c r="H18" i="2"/>
  <c r="H19" i="2"/>
  <c r="H3" i="2"/>
  <c r="J7" i="1"/>
  <c r="AE7" i="1" s="1"/>
  <c r="J8" i="1"/>
  <c r="AE8" i="1" s="1"/>
  <c r="J9" i="1"/>
  <c r="AE9" i="1" s="1"/>
  <c r="J10" i="1"/>
  <c r="AE10" i="1" s="1"/>
  <c r="J11" i="1"/>
  <c r="AE11" i="1" s="1"/>
  <c r="J12" i="1"/>
  <c r="AE12" i="1" s="1"/>
  <c r="J13" i="1"/>
  <c r="AE13" i="1" s="1"/>
  <c r="J14" i="1"/>
  <c r="AE14" i="1" s="1"/>
  <c r="J15" i="1"/>
  <c r="AE15" i="1" s="1"/>
  <c r="J16" i="1"/>
  <c r="AE16" i="1" s="1"/>
  <c r="J17" i="1"/>
  <c r="AE17" i="1" s="1"/>
  <c r="J18" i="1"/>
  <c r="AE18" i="1" s="1"/>
  <c r="J19" i="1"/>
  <c r="AE19" i="1" s="1"/>
  <c r="J20" i="1"/>
  <c r="AE20" i="1" s="1"/>
  <c r="J21" i="1"/>
  <c r="AE21" i="1" s="1"/>
  <c r="J22" i="1"/>
  <c r="AE22" i="1" s="1"/>
  <c r="J23" i="1"/>
  <c r="AE23" i="1" s="1"/>
  <c r="J24" i="1"/>
  <c r="AE24" i="1" s="1"/>
  <c r="J25" i="1"/>
  <c r="AE25" i="1" s="1"/>
  <c r="J26" i="1"/>
  <c r="AE26" i="1" s="1"/>
  <c r="J27" i="1"/>
  <c r="AE27" i="1" s="1"/>
  <c r="J28" i="1"/>
  <c r="AE28" i="1" s="1"/>
  <c r="J29" i="1"/>
  <c r="AE29" i="1" s="1"/>
  <c r="J30" i="1"/>
  <c r="AE30" i="1" s="1"/>
  <c r="J31" i="1"/>
  <c r="AE31" i="1" s="1"/>
  <c r="J32" i="1"/>
  <c r="AE32" i="1" s="1"/>
  <c r="J33" i="1"/>
  <c r="AE33" i="1" s="1"/>
  <c r="J34" i="1"/>
  <c r="AE34" i="1" s="1"/>
  <c r="J35" i="1"/>
  <c r="AE35" i="1" s="1"/>
  <c r="J36" i="1"/>
  <c r="AE36" i="1" s="1"/>
  <c r="J37" i="1"/>
  <c r="AE37" i="1" s="1"/>
  <c r="J38" i="1"/>
  <c r="AE38" i="1" s="1"/>
  <c r="J39" i="1"/>
  <c r="AE39" i="1" s="1"/>
  <c r="J40" i="1"/>
  <c r="AE40" i="1" s="1"/>
  <c r="J41" i="1"/>
  <c r="AE41" i="1" s="1"/>
  <c r="J42" i="1"/>
  <c r="AE42" i="1" s="1"/>
  <c r="J43" i="1"/>
  <c r="AE43" i="1" s="1"/>
  <c r="J44" i="1"/>
  <c r="AE44" i="1" s="1"/>
  <c r="J45" i="1"/>
  <c r="AE45" i="1" s="1"/>
  <c r="J46" i="1"/>
  <c r="AE46" i="1" s="1"/>
  <c r="J47" i="1"/>
  <c r="AE47" i="1" s="1"/>
  <c r="J48" i="1"/>
  <c r="AE48" i="1" s="1"/>
  <c r="J49" i="1"/>
  <c r="AE49" i="1" s="1"/>
  <c r="J50" i="1"/>
  <c r="AE50" i="1" s="1"/>
  <c r="J51" i="1"/>
  <c r="AE51" i="1" s="1"/>
  <c r="J52" i="1"/>
  <c r="AE52" i="1" s="1"/>
  <c r="J53" i="1"/>
  <c r="AE53" i="1" s="1"/>
  <c r="J54" i="1"/>
  <c r="AE54" i="1" s="1"/>
  <c r="J55" i="1"/>
  <c r="AE55" i="1" s="1"/>
  <c r="J56" i="1"/>
  <c r="AE56" i="1" s="1"/>
  <c r="J57" i="1"/>
  <c r="AE57" i="1" s="1"/>
  <c r="J58" i="1"/>
  <c r="AE58" i="1" s="1"/>
  <c r="J59" i="1"/>
  <c r="AE59" i="1" s="1"/>
  <c r="J60" i="1"/>
  <c r="AE60" i="1" s="1"/>
  <c r="J61" i="1"/>
  <c r="AE61" i="1" s="1"/>
  <c r="J62" i="1"/>
  <c r="AE62" i="1" s="1"/>
  <c r="J63" i="1"/>
  <c r="AE63" i="1" s="1"/>
  <c r="J64" i="1"/>
  <c r="AE64" i="1" s="1"/>
  <c r="J65" i="1"/>
  <c r="AE65" i="1" s="1"/>
  <c r="J66" i="1"/>
  <c r="AE66" i="1" s="1"/>
  <c r="J67" i="1"/>
  <c r="AE67" i="1" s="1"/>
  <c r="J68" i="1"/>
  <c r="AE68" i="1" s="1"/>
  <c r="J69" i="1"/>
  <c r="AE69" i="1" s="1"/>
  <c r="J70" i="1"/>
  <c r="AE70" i="1" s="1"/>
  <c r="J71" i="1"/>
  <c r="AE71" i="1" s="1"/>
  <c r="J72" i="1"/>
  <c r="AE72" i="1" s="1"/>
  <c r="J73" i="1"/>
  <c r="AE73" i="1" s="1"/>
  <c r="J74" i="1"/>
  <c r="AE74" i="1" s="1"/>
  <c r="J75" i="1"/>
  <c r="AE75" i="1" s="1"/>
  <c r="J6" i="1"/>
  <c r="AA76" i="1" l="1"/>
  <c r="U66" i="1"/>
  <c r="L7" i="1"/>
  <c r="AC7" i="1" s="1"/>
  <c r="L8" i="1"/>
  <c r="AC8" i="1" s="1"/>
  <c r="L9" i="1"/>
  <c r="AC9" i="1" s="1"/>
  <c r="L10" i="1"/>
  <c r="AC10" i="1" s="1"/>
  <c r="L11" i="1"/>
  <c r="AC11" i="1" s="1"/>
  <c r="L12" i="1"/>
  <c r="AC12" i="1" s="1"/>
  <c r="L13" i="1"/>
  <c r="AC13" i="1" s="1"/>
  <c r="L14" i="1"/>
  <c r="AC14" i="1" s="1"/>
  <c r="L15" i="1"/>
  <c r="AC15" i="1" s="1"/>
  <c r="L16" i="1"/>
  <c r="AC16" i="1" s="1"/>
  <c r="L17" i="1"/>
  <c r="AC17" i="1" s="1"/>
  <c r="L18" i="1"/>
  <c r="AC18" i="1" s="1"/>
  <c r="L19" i="1"/>
  <c r="AC19" i="1" s="1"/>
  <c r="L20" i="1"/>
  <c r="AC20" i="1" s="1"/>
  <c r="L21" i="1"/>
  <c r="AC21" i="1" s="1"/>
  <c r="L22" i="1"/>
  <c r="AC22" i="1" s="1"/>
  <c r="L23" i="1"/>
  <c r="AC23" i="1" s="1"/>
  <c r="L24" i="1"/>
  <c r="AC24" i="1" s="1"/>
  <c r="L25" i="1"/>
  <c r="AC25" i="1" s="1"/>
  <c r="L26" i="1"/>
  <c r="AC26" i="1" s="1"/>
  <c r="L27" i="1"/>
  <c r="AC27" i="1" s="1"/>
  <c r="L28" i="1"/>
  <c r="AC28" i="1" s="1"/>
  <c r="L29" i="1"/>
  <c r="AC29" i="1" s="1"/>
  <c r="L30" i="1"/>
  <c r="AC30" i="1" s="1"/>
  <c r="L31" i="1"/>
  <c r="AC31" i="1" s="1"/>
  <c r="L32" i="1"/>
  <c r="AC32" i="1" s="1"/>
  <c r="L33" i="1"/>
  <c r="AC33" i="1" s="1"/>
  <c r="L34" i="1"/>
  <c r="AC34" i="1" s="1"/>
  <c r="L35" i="1"/>
  <c r="AC35" i="1" s="1"/>
  <c r="L36" i="1"/>
  <c r="AC36" i="1" s="1"/>
  <c r="L37" i="1"/>
  <c r="AC37" i="1" s="1"/>
  <c r="L38" i="1"/>
  <c r="AC38" i="1" s="1"/>
  <c r="L39" i="1"/>
  <c r="AC39" i="1" s="1"/>
  <c r="L40" i="1"/>
  <c r="AC40" i="1" s="1"/>
  <c r="L41" i="1"/>
  <c r="AC41" i="1" s="1"/>
  <c r="L42" i="1"/>
  <c r="AC42" i="1" s="1"/>
  <c r="L43" i="1"/>
  <c r="AC43" i="1" s="1"/>
  <c r="L44" i="1"/>
  <c r="AC44" i="1" s="1"/>
  <c r="L45" i="1"/>
  <c r="AC45" i="1" s="1"/>
  <c r="L46" i="1"/>
  <c r="L47" i="1"/>
  <c r="L48" i="1"/>
  <c r="L49" i="1"/>
  <c r="AC49" i="1" s="1"/>
  <c r="L50" i="1"/>
  <c r="AC50" i="1" s="1"/>
  <c r="L51" i="1"/>
  <c r="AC51" i="1" s="1"/>
  <c r="L52" i="1"/>
  <c r="AC52" i="1" s="1"/>
  <c r="L53" i="1"/>
  <c r="AC53" i="1" s="1"/>
  <c r="L54" i="1"/>
  <c r="AC54" i="1" s="1"/>
  <c r="L55" i="1"/>
  <c r="AC55" i="1" s="1"/>
  <c r="L56" i="1"/>
  <c r="AC56" i="1" s="1"/>
  <c r="L57" i="1"/>
  <c r="AC57" i="1" s="1"/>
  <c r="L58" i="1"/>
  <c r="AC58" i="1" s="1"/>
  <c r="L59" i="1"/>
  <c r="AC59" i="1" s="1"/>
  <c r="L60" i="1"/>
  <c r="AC60" i="1" s="1"/>
  <c r="L61" i="1"/>
  <c r="AC61" i="1" s="1"/>
  <c r="L62" i="1"/>
  <c r="AC62" i="1" s="1"/>
  <c r="L63" i="1"/>
  <c r="AC63" i="1" s="1"/>
  <c r="L64" i="1"/>
  <c r="AC64" i="1" s="1"/>
  <c r="L65" i="1"/>
  <c r="AC65" i="1" s="1"/>
  <c r="L66" i="1"/>
  <c r="AC66" i="1" s="1"/>
  <c r="L67" i="1"/>
  <c r="AC67" i="1" s="1"/>
  <c r="L68" i="1"/>
  <c r="AC68" i="1" s="1"/>
  <c r="L69" i="1"/>
  <c r="AC69" i="1" s="1"/>
  <c r="L70" i="1"/>
  <c r="AC70" i="1" s="1"/>
  <c r="L71" i="1"/>
  <c r="AC71" i="1" s="1"/>
  <c r="L72" i="1"/>
  <c r="AC72" i="1" s="1"/>
  <c r="L73" i="1"/>
  <c r="AC73" i="1" s="1"/>
  <c r="L74" i="1"/>
  <c r="AC74" i="1" s="1"/>
  <c r="L75" i="1"/>
  <c r="AC75" i="1" s="1"/>
  <c r="L6" i="1"/>
  <c r="AC6" i="1" s="1"/>
  <c r="AE6" i="1"/>
  <c r="Y75" i="1"/>
  <c r="W75" i="1"/>
  <c r="U75" i="1"/>
  <c r="Y74" i="1"/>
  <c r="W74" i="1"/>
  <c r="U74" i="1"/>
  <c r="Y73" i="1"/>
  <c r="W73" i="1"/>
  <c r="U73" i="1"/>
  <c r="Y72" i="1"/>
  <c r="W72" i="1"/>
  <c r="U72" i="1"/>
  <c r="Y71" i="1"/>
  <c r="W71" i="1"/>
  <c r="U71" i="1"/>
  <c r="Y70" i="1"/>
  <c r="W70" i="1"/>
  <c r="U70" i="1"/>
  <c r="Y69" i="1"/>
  <c r="W69" i="1"/>
  <c r="U69" i="1"/>
  <c r="Y68" i="1"/>
  <c r="W68" i="1"/>
  <c r="U68" i="1"/>
  <c r="Y67" i="1"/>
  <c r="W67" i="1"/>
  <c r="U67" i="1"/>
  <c r="Y66" i="1"/>
  <c r="W66" i="1"/>
  <c r="Y65" i="1"/>
  <c r="W65" i="1"/>
  <c r="U65" i="1"/>
  <c r="Y64" i="1"/>
  <c r="W64" i="1"/>
  <c r="U64" i="1"/>
  <c r="Y63" i="1"/>
  <c r="W63" i="1"/>
  <c r="U63" i="1"/>
  <c r="Y62" i="1"/>
  <c r="W62" i="1"/>
  <c r="U62" i="1"/>
  <c r="Y61" i="1"/>
  <c r="W61" i="1"/>
  <c r="U61" i="1"/>
  <c r="Y60" i="1"/>
  <c r="W60" i="1"/>
  <c r="U60" i="1"/>
  <c r="Y59" i="1"/>
  <c r="W59" i="1"/>
  <c r="U59" i="1"/>
  <c r="Y58" i="1"/>
  <c r="W58" i="1"/>
  <c r="U58" i="1"/>
  <c r="Y57" i="1"/>
  <c r="W57" i="1"/>
  <c r="U57" i="1"/>
  <c r="Y56" i="1"/>
  <c r="W56" i="1"/>
  <c r="U56" i="1"/>
  <c r="Y55" i="1"/>
  <c r="W55" i="1"/>
  <c r="U55" i="1"/>
  <c r="Y54" i="1"/>
  <c r="W54" i="1"/>
  <c r="U54" i="1"/>
  <c r="Y53" i="1"/>
  <c r="W53" i="1"/>
  <c r="U53" i="1"/>
  <c r="Y52" i="1"/>
  <c r="W52" i="1"/>
  <c r="U52" i="1"/>
  <c r="Y51" i="1"/>
  <c r="W51" i="1"/>
  <c r="U51" i="1"/>
  <c r="Y50" i="1"/>
  <c r="W50" i="1"/>
  <c r="U50" i="1"/>
  <c r="Y49" i="1"/>
  <c r="W49" i="1"/>
  <c r="U49" i="1"/>
  <c r="Y48" i="1"/>
  <c r="W48" i="1"/>
  <c r="U48" i="1"/>
  <c r="Y47" i="1"/>
  <c r="W47" i="1"/>
  <c r="U47" i="1"/>
  <c r="Y46" i="1"/>
  <c r="W46" i="1"/>
  <c r="U46" i="1"/>
  <c r="Y45" i="1"/>
  <c r="W45" i="1"/>
  <c r="U45" i="1"/>
  <c r="Y44" i="1"/>
  <c r="W44" i="1"/>
  <c r="U44" i="1"/>
  <c r="Y43" i="1"/>
  <c r="W43" i="1"/>
  <c r="U43" i="1"/>
  <c r="Y42" i="1"/>
  <c r="W42" i="1"/>
  <c r="U42" i="1"/>
  <c r="Y41" i="1"/>
  <c r="W41" i="1"/>
  <c r="U41" i="1"/>
  <c r="Y40" i="1"/>
  <c r="W40" i="1"/>
  <c r="U40" i="1"/>
  <c r="Y39" i="1"/>
  <c r="W39" i="1"/>
  <c r="U39" i="1"/>
  <c r="Y38" i="1"/>
  <c r="W38" i="1"/>
  <c r="U38" i="1"/>
  <c r="Y37" i="1"/>
  <c r="W37" i="1"/>
  <c r="U37" i="1"/>
  <c r="Y36" i="1"/>
  <c r="W36" i="1"/>
  <c r="U36" i="1"/>
  <c r="Y35" i="1"/>
  <c r="W35" i="1"/>
  <c r="U35" i="1"/>
  <c r="Y34" i="1"/>
  <c r="W34" i="1"/>
  <c r="U34" i="1"/>
  <c r="Y33" i="1"/>
  <c r="W33" i="1"/>
  <c r="U33" i="1"/>
  <c r="Y32" i="1"/>
  <c r="W32" i="1"/>
  <c r="U32" i="1"/>
  <c r="Y31" i="1"/>
  <c r="W31" i="1"/>
  <c r="U31" i="1"/>
  <c r="Y30" i="1"/>
  <c r="W30" i="1"/>
  <c r="U30" i="1"/>
  <c r="Y29" i="1"/>
  <c r="W29" i="1"/>
  <c r="U29" i="1"/>
  <c r="Y28" i="1"/>
  <c r="W28" i="1"/>
  <c r="U28" i="1"/>
  <c r="Y27" i="1"/>
  <c r="W27" i="1"/>
  <c r="U27" i="1"/>
  <c r="Y26" i="1"/>
  <c r="W26" i="1"/>
  <c r="U26" i="1"/>
  <c r="Y25" i="1"/>
  <c r="W25" i="1"/>
  <c r="U25" i="1"/>
  <c r="Y24" i="1"/>
  <c r="W24" i="1"/>
  <c r="U24" i="1"/>
  <c r="Y23" i="1"/>
  <c r="W23" i="1"/>
  <c r="U23" i="1"/>
  <c r="Y22" i="1"/>
  <c r="W22" i="1"/>
  <c r="U22" i="1"/>
  <c r="Y21" i="1"/>
  <c r="W21" i="1"/>
  <c r="U21" i="1"/>
  <c r="Y20" i="1"/>
  <c r="W20" i="1"/>
  <c r="U20" i="1"/>
  <c r="Y19" i="1"/>
  <c r="W19" i="1"/>
  <c r="U19" i="1"/>
  <c r="Y18" i="1"/>
  <c r="W18" i="1"/>
  <c r="U18" i="1"/>
  <c r="Y17" i="1"/>
  <c r="W17" i="1"/>
  <c r="U17" i="1"/>
  <c r="Y16" i="1"/>
  <c r="W16" i="1"/>
  <c r="U16" i="1"/>
  <c r="Y15" i="1"/>
  <c r="W15" i="1"/>
  <c r="U15" i="1"/>
  <c r="Y14" i="1"/>
  <c r="W14" i="1"/>
  <c r="U14" i="1"/>
  <c r="Y13" i="1"/>
  <c r="W13" i="1"/>
  <c r="U13" i="1"/>
  <c r="Y12" i="1"/>
  <c r="W12" i="1"/>
  <c r="U12" i="1"/>
  <c r="Y11" i="1"/>
  <c r="W11" i="1"/>
  <c r="U11" i="1"/>
  <c r="Y10" i="1"/>
  <c r="W10" i="1"/>
  <c r="U10" i="1"/>
  <c r="Y9" i="1"/>
  <c r="W9" i="1"/>
  <c r="U9" i="1"/>
  <c r="Y8" i="1"/>
  <c r="W8" i="1"/>
  <c r="U8" i="1"/>
  <c r="Y7" i="1"/>
  <c r="W7" i="1"/>
  <c r="U7" i="1"/>
  <c r="Y6" i="1"/>
  <c r="W6" i="1"/>
  <c r="U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U76" i="1" l="1"/>
  <c r="AC76" i="1"/>
  <c r="W76" i="1"/>
  <c r="N76" i="1"/>
  <c r="AE76" i="1"/>
  <c r="Y76" i="1"/>
  <c r="R76" i="1"/>
  <c r="T81" i="1" l="1"/>
  <c r="H75" i="1" l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76" i="1" l="1"/>
</calcChain>
</file>

<file path=xl/sharedStrings.xml><?xml version="1.0" encoding="utf-8"?>
<sst xmlns="http://schemas.openxmlformats.org/spreadsheetml/2006/main" count="325" uniqueCount="171">
  <si>
    <t>S.N</t>
  </si>
  <si>
    <t>ITEM</t>
  </si>
  <si>
    <t>Qty.</t>
  </si>
  <si>
    <t>REFERENCE</t>
    <phoneticPr fontId="0" type="noConversion"/>
  </si>
  <si>
    <t>Part #</t>
  </si>
  <si>
    <t>Unit price</t>
  </si>
  <si>
    <t>Total Price</t>
  </si>
  <si>
    <t>المورد</t>
  </si>
  <si>
    <t>المتبقي</t>
  </si>
  <si>
    <t>ما تم عمل فواتير توريد له</t>
  </si>
  <si>
    <t>المتبقي للفوترة</t>
  </si>
  <si>
    <t>Access Switches 24 Ports PoE</t>
  </si>
  <si>
    <t>2.5&amp;10G Bundle (12*100M/1G/2.5G, 12*100M/1G/2.5G/5G/10G Ethernet ports, Optional RTU/ upgrade to 5/10G, 4*25GE + 2*40GE or 2*100GE, 1*expansion slot, PoE++,1*1000W AC power)</t>
  </si>
  <si>
    <t>S5732-H24UM2CC</t>
  </si>
  <si>
    <t>Access Switches 48 Ports PoE</t>
  </si>
  <si>
    <t>2.5&amp;10G Bundle(36*100M/1G/2.5G, 12*100M/1G/2.5G/5G/10G Ethernet ports, Optional RTU upgrade to 5/10G, 4*25GE + 2*40GE or 2*100GE, 1*expansion slot, PoE++1*1000W AC power</t>
  </si>
  <si>
    <t>S5732-H48UM2CC</t>
  </si>
  <si>
    <t>Aggregation Switch 48 Port 1/10G</t>
  </si>
  <si>
    <t>48*10GE SFP+ ports, 6*40GE QSFP28 ports, optional license for upgrade to 6*100GE QSFP28, without power module</t>
  </si>
  <si>
    <t>S6730-H48X6C</t>
  </si>
  <si>
    <t>Aggregation Switch 24 Port 1/10G</t>
  </si>
  <si>
    <t>(24*10GE SFP+ ports, 6*40GE QSFP28 ports, optional license for upgrade to 6*100GE QSFP28, without power module)</t>
  </si>
  <si>
    <t>S6730-H24X6C</t>
  </si>
  <si>
    <t>IP Class B</t>
  </si>
  <si>
    <t>JJ139 IP PHONE</t>
  </si>
  <si>
    <t>IP Class A</t>
  </si>
  <si>
    <t>AVAYA VANTAGE K155 WITH CAMERA WITH WIRELESS</t>
  </si>
  <si>
    <t>InDoor Access point</t>
  </si>
  <si>
    <t>AirEngine5760-51 11ax indoor,2+4 dual bands,smart antenna,USB,IoT Slot,BLE,Optional RTU upgrade to 4+4/2+2+4/2+4+Scan</t>
  </si>
  <si>
    <t>Outdoor Access Point</t>
  </si>
  <si>
    <t>AirEngine6760R-51(11ax outdoor,4+4 dual bands,smart antenna,BLE)</t>
  </si>
  <si>
    <t>AirEngine6760R-51</t>
  </si>
  <si>
    <t xml:space="preserve">Access Switches 8 Ports </t>
  </si>
  <si>
    <t>(8*10/100/1000BASE-T ports, 4*10GE SFP+ ports, PoE+, AC power</t>
  </si>
  <si>
    <t>S5735-L8P4X-IA1</t>
  </si>
  <si>
    <t>2288X V5 128G Configuration(2*16Core/2.3GHz CPU,4*32G Memory,4*1200GB SAS HDD,Raid(2G cache)+SuperCap,4*2 GE+2*2 10GE SFP+,2*900W AC,Rail)</t>
  </si>
  <si>
    <t>H22X-05-NCEE-128-2</t>
  </si>
  <si>
    <t>core switch</t>
  </si>
  <si>
    <t>S12700E-4 Assembly Chassis</t>
  </si>
  <si>
    <t>ET1BS12704E0</t>
  </si>
  <si>
    <t>DC Aggregation Switch 48 Port</t>
  </si>
  <si>
    <t>(48*10GE SFP+ ports, 6*40GE QSFP28 ports, optional license for upgrade to 6*100GE  QSFP28, without power module)</t>
  </si>
  <si>
    <t>Wireless Controller</t>
  </si>
  <si>
    <t>AirEngine9700-M1 mainframe (12*GE ports, 12*10GE SFP+ ports, 2*40GE QSFP+ ports, no power)</t>
  </si>
  <si>
    <t>AirEngine9700-M1</t>
  </si>
  <si>
    <t>avaya</t>
  </si>
  <si>
    <t xml:space="preserve"> AURA R10 BASIC IPT NEW SOFTWARE LIC: NU;CU;SR</t>
  </si>
  <si>
    <t>Voice Gateway</t>
  </si>
  <si>
    <t xml:space="preserve"> 120A CSU CABLE 50 FEET RHS</t>
  </si>
  <si>
    <t>Video Conference</t>
  </si>
  <si>
    <t>Real Presence Clariti - Concurrent Meeting License, Perpetual (Maintenance Contract Required) (Qty 1-4 only) basic</t>
  </si>
  <si>
    <t>POLY STUDIO X70 &amp; TC8 Integrated Dual Cameras 4K+ Video System for Conf/Collab/Wireless Pres Sys: EPTZ auto-track Cam with shutters, Codec, Stereo Spkrphone,Wall Mount Kit;Cables:2 HDMI 2m,1 CAT5E LAN 15 ft;Pwr:UK-Type G, BS 1363</t>
  </si>
  <si>
    <t>CMS R19 ADMIN SYNC NEW LIC:DS</t>
  </si>
  <si>
    <t>VxRail Compete 3</t>
  </si>
  <si>
    <t>nce</t>
  </si>
  <si>
    <t>Analyzer Hardware SN03(2*20Core/2.1GHz CPU,8*32G Memory,12*1200GB SAS HDD, Raid Card (2G cache),2*4*GE+3*2*10GE,2*900W AC</t>
  </si>
  <si>
    <t>H22X-05-CI256G04</t>
  </si>
  <si>
    <t>Switch Spine 64 port 40</t>
  </si>
  <si>
    <t xml:space="preserve">CE8850-64CQ-EI Switch (64-Port 100GE QSFP28,2*AC Power Module,3*FAN Box, Port-side Intake) </t>
  </si>
  <si>
    <t>CE8850-EI-B-B0B</t>
  </si>
  <si>
    <t>Core Switch copper leaf 48 copper port 1/10G , Fiber 6 port 40/100G</t>
  </si>
  <si>
    <t>CE6881-48T6CQ-B switch(48*10GE RJ45,6*100GE QSFP28,2*AC power modules,4*fan modules,port-side intake)</t>
  </si>
  <si>
    <t>CE6881-48T6CQ-B</t>
  </si>
  <si>
    <t>Core Switch fiber leaf 48 port fiber 1/10/25G and 6 port fiber 40/100G</t>
  </si>
  <si>
    <t>N1-CloudFabric Advanced SW License for CloudEngine 6800</t>
  </si>
  <si>
    <t>CE6863-48S6CQ-B</t>
  </si>
  <si>
    <t>Veeam Backup &amp; Replication Enterprise Plus. 1 year of Production (24/7) Support is included. Education sector</t>
  </si>
  <si>
    <t>DC Firewal</t>
  </si>
  <si>
    <t>PA-5450 Base AC Hardware Bundle. Includes Chassis, 2xAC power supplies, 4xFans, Base Card, Management Processing Card, and Networking Card, includes 4 post rack mount kit</t>
  </si>
  <si>
    <t>4 x 40GE QSFP+ slots , 20 x 10GE SFP+ slots (including 18x ports, 2x HA ports), 14 x GE RJ45 ports (including 12 x ports, 2 x management ports), SPU NP6 and CP9 hardware accelerated, and dual AC power supplies, with 2x 1TB SSD onboard storage, Hardware plus 24x7 FortiCare and FortiGuard Unified Threat Protection (UTP)</t>
  </si>
  <si>
    <t>AR6280 integrated chassis, 1*SRU slot, 4*SIC slot, 2*WSIC slot, 2*XSIC slot, 2*power slot</t>
  </si>
  <si>
    <t>FortiClient EPP/APT Subscription for 500 endpoints.  Includes VPN/ZTNA Agent, EPP/APT with 24x7 FortiCare.</t>
  </si>
  <si>
    <t>Sandbox Scan 5000 Files per day</t>
  </si>
  <si>
    <t>Sandboxing Appliance - 4 x GE RJ45, 4 x GE SFP slots, redundant PSU optional, 1 Win10, 1 Win7, 1 Office16. Upgradable to max 14 VMs.</t>
  </si>
  <si>
    <t xml:space="preserve"> سيسكو</t>
  </si>
  <si>
    <t>FortiProxy2000E, 2x GbE RJ45, 2 x GbE RJ45 Bypass, 2 x GbE SFP, 2 x 10GbE SFP+, CP9 Hardware Accelerated (2 x CP9 Chips), 8TB (2TB x 4) Storage, Dual AC Power Supplies</t>
  </si>
  <si>
    <t>FortiSIEM All-in-one Hardware Appliance FSM-2000F. Supports up to 15,000 EPS. Does not include any device or EPS licenses and must be purchased separately</t>
  </si>
  <si>
    <t>Email Security Appliance - 2 x GE SFP slots, 4 x GE RJ45 ports, dual AC power supplies, 4TB Default Storage, Hardware plus 24x7 FortiCare and FortiGuard Base Bundle QTY</t>
  </si>
  <si>
    <t xml:space="preserve"> Application Delivery Controller - 8 x 10GE SFP+ ports, 8 x GE SFP ports, 8 x GE RJ45 ports, 2 x GE RJ45 management port, 1x 240G SSD, dual AC power supplies, Hardware plus 24x7 FortiCare and FortiADC Standard Bundle</t>
  </si>
  <si>
    <t>Data Center Infrastructure Management System (DCIM)" iManager NetEco6000</t>
  </si>
  <si>
    <t>UTP CAT6A</t>
  </si>
  <si>
    <t>3091B WHT C6A 4/23 U/UTP W1000</t>
  </si>
  <si>
    <t>patch panel</t>
  </si>
  <si>
    <t>FlexiMAX U/UTP High Density Patch Panel</t>
  </si>
  <si>
    <t>OUTLET-Black</t>
  </si>
  <si>
    <t xml:space="preserve"> MGS600 OUTLET-Black</t>
  </si>
  <si>
    <t>organizer</t>
  </si>
  <si>
    <t>U Patchcord Management</t>
  </si>
  <si>
    <t>patch cord utp 1m</t>
  </si>
  <si>
    <t xml:space="preserve">  Patch Cord Cat6A 3FT</t>
  </si>
  <si>
    <t>CPCSSZ2-03F003</t>
  </si>
  <si>
    <t>facepalte dual</t>
  </si>
  <si>
    <t>Faceplate, 2-port, White</t>
  </si>
  <si>
    <t>OUTLET-white</t>
  </si>
  <si>
    <t>MGS600 OUTLET-WHITE</t>
  </si>
  <si>
    <t>patch cord utp 3m</t>
  </si>
  <si>
    <t>Patch Cord Cat6A 10FT</t>
  </si>
  <si>
    <t>facepalte dual - floorbox -</t>
  </si>
  <si>
    <t>FACEPLATE,  2PORT</t>
  </si>
  <si>
    <t>OUTLET-white - floorbox -</t>
  </si>
  <si>
    <t>patch cord utp 3m - floorbox -</t>
  </si>
  <si>
    <t>faceplate RJ-45</t>
  </si>
  <si>
    <t>M10CF Faceplate, 1-port, White</t>
  </si>
  <si>
    <t>OUTLET-white - rj 45 -</t>
  </si>
  <si>
    <t>patch cord utp 3m - RJ-45 -</t>
  </si>
  <si>
    <t>odf 48 port</t>
  </si>
  <si>
    <t>Fiber Optic Panel, 1 U, 19 in, unloaded for holding up to 24 LC/UPC duplex adapters, black</t>
  </si>
  <si>
    <t>1671000-8</t>
  </si>
  <si>
    <t>caset</t>
  </si>
  <si>
    <t>Universal Splice Tray FOSC-500 Fiber Optic Splice Tray Kit, SMOUV</t>
  </si>
  <si>
    <t>1671281-1</t>
  </si>
  <si>
    <t>1U Patchcord Management</t>
  </si>
  <si>
    <t>coupler - singlemode -</t>
  </si>
  <si>
    <t>Fiber Optic 
Duplex Adapter, Singlemode , LC/UPC, ceramic
sleeve, blue</t>
  </si>
  <si>
    <t>6457567-4</t>
  </si>
  <si>
    <t xml:space="preserve"> Pigtail singlemode</t>
  </si>
  <si>
    <t>Fiber Optic Pigtail, Simplex, Singlemode, LC/UPC to Stub, 2 m</t>
  </si>
  <si>
    <t>Fiber Patch Cord - singlemode -</t>
  </si>
  <si>
    <t>Fiber Patch Cord LC-LC 10FT</t>
  </si>
  <si>
    <t>FFWLCLC42-JXF010</t>
  </si>
  <si>
    <t>odf 24 port</t>
  </si>
  <si>
    <t>coupler - multimode -</t>
  </si>
  <si>
    <t>Fiber Optic Insert , LC, duplex,ceramic sleeve,flsnged, multimode, aqua</t>
  </si>
  <si>
    <t>1-6457567-6</t>
  </si>
  <si>
    <t xml:space="preserve"> Pigtail multimode</t>
  </si>
  <si>
    <t>Fiber Optic Pigtail, Simplex, Multimode, LC/UPC to Stub, 2 m</t>
  </si>
  <si>
    <t>2160042-2</t>
  </si>
  <si>
    <t>Fiber Patch Cord - multimode -</t>
  </si>
  <si>
    <t>FFXLCLC42-MXF010</t>
  </si>
  <si>
    <t>rack 42 u</t>
  </si>
  <si>
    <t>Rack 42U</t>
  </si>
  <si>
    <t>rack 26 u</t>
  </si>
  <si>
    <t>Rack 26U</t>
  </si>
  <si>
    <t>rack 18 u</t>
  </si>
  <si>
    <t>Rack 20U</t>
  </si>
  <si>
    <t>Rack 12U</t>
  </si>
  <si>
    <t>Rack 9U</t>
  </si>
  <si>
    <t>Rack 7U</t>
  </si>
  <si>
    <t>8 core</t>
  </si>
  <si>
    <t>Fiber Optic Cable, 12-fiber, OM4, ULSZH, armoured loose tube, gel-filled</t>
  </si>
  <si>
    <t>12 core</t>
  </si>
  <si>
    <t>TeraSPEED® Single Jacket/Single Armor, Gel-Free, Outdoor Stranded Loose Tube Cable</t>
  </si>
  <si>
    <t>96 core</t>
  </si>
  <si>
    <t>TeraSPEED® Single Jacket/Single Armor, Gel-Free, Outdoor Stranded Loose Tube</t>
  </si>
  <si>
    <t>AirEngine5760-51</t>
  </si>
  <si>
    <t>AR6280</t>
  </si>
  <si>
    <t>CPCSSZ2-03F010</t>
  </si>
  <si>
    <t>6536880-2</t>
  </si>
  <si>
    <t>brand</t>
  </si>
  <si>
    <t>Huawei</t>
  </si>
  <si>
    <t>AVAYA</t>
  </si>
  <si>
    <t>بولى كو</t>
  </si>
  <si>
    <t>Dell</t>
  </si>
  <si>
    <t>فيم</t>
  </si>
  <si>
    <t>بالوالتو</t>
  </si>
  <si>
    <t>فورتى نت</t>
  </si>
  <si>
    <t>Comscpe</t>
  </si>
  <si>
    <t>ACS-CC</t>
  </si>
  <si>
    <t>عقد 10668</t>
  </si>
  <si>
    <t>فاتورة رقم 1</t>
  </si>
  <si>
    <t>عقد 12959</t>
  </si>
  <si>
    <t>فاتورة رقم 2</t>
  </si>
  <si>
    <t>فاتورة رقم 3</t>
  </si>
  <si>
    <t>المتبقي من التوريد</t>
  </si>
  <si>
    <t>ما تم توريده ولم يفوتر</t>
  </si>
  <si>
    <t>T/F</t>
  </si>
  <si>
    <t>NAC</t>
  </si>
  <si>
    <t>Router</t>
  </si>
  <si>
    <t>Data Center</t>
  </si>
  <si>
    <t>فاتورة رقم 4</t>
  </si>
  <si>
    <t xml:space="preserve">مقايسة توريدات بني سويف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</si>
</sst>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 ;[Red]\-0\ "/>
    <numFmt numFmtId="165" formatCode="_(* #,##0_);_(* \(#,##0\);_(* &quot;-&quot;??_);_(@_)"/>
  </numFmts>
  <fonts count="1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28"/>
      <color theme="1"/>
      <name val="Calibri"/>
      <family val="2"/>
      <scheme val="minor"/>
    </font>
    <font>
      <b/>
      <sz val="28"/>
      <name val="Arial"/>
      <family val="2"/>
    </font>
    <font>
      <b/>
      <sz val="28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Calibri"/>
      <family val="2"/>
      <charset val="178"/>
      <scheme val="minor"/>
    </font>
    <font>
      <sz val="16"/>
      <name val="Calibri"/>
      <family val="2"/>
      <scheme val="minor"/>
    </font>
    <font>
      <sz val="16"/>
      <color theme="1"/>
      <name val="Arial"/>
      <family val="2"/>
    </font>
    <font>
      <u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16" xfId="5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49" fontId="6" fillId="3" borderId="2" xfId="2" applyNumberFormat="1" applyFont="1" applyFill="1" applyBorder="1" applyAlignment="1" applyProtection="1">
      <alignment horizontal="center" vertical="center"/>
      <protection locked="0"/>
    </xf>
    <xf numFmtId="0" fontId="7" fillId="0" borderId="19" xfId="0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 wrapText="1"/>
    </xf>
    <xf numFmtId="165" fontId="8" fillId="0" borderId="0" xfId="1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165" fontId="8" fillId="0" borderId="1" xfId="1" applyNumberFormat="1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10" xfId="5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4" fontId="9" fillId="2" borderId="2" xfId="2" applyNumberFormat="1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8" fillId="0" borderId="12" xfId="2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 wrapText="1"/>
    </xf>
    <xf numFmtId="49" fontId="10" fillId="3" borderId="2" xfId="2" applyNumberFormat="1" applyFont="1" applyFill="1" applyBorder="1" applyAlignment="1" applyProtection="1">
      <alignment horizontal="center" vertical="center"/>
      <protection locked="0"/>
    </xf>
    <xf numFmtId="4" fontId="10" fillId="0" borderId="2" xfId="3" applyNumberFormat="1" applyFont="1" applyFill="1" applyBorder="1" applyAlignment="1" applyProtection="1">
      <alignment vertical="center"/>
      <protection locked="0"/>
    </xf>
    <xf numFmtId="0" fontId="8" fillId="4" borderId="2" xfId="2" applyFont="1" applyFill="1" applyBorder="1" applyAlignment="1">
      <alignment horizontal="center" vertical="center"/>
    </xf>
    <xf numFmtId="164" fontId="8" fillId="0" borderId="2" xfId="2" applyNumberFormat="1" applyFont="1" applyBorder="1" applyAlignment="1">
      <alignment horizontal="center" vertical="center"/>
    </xf>
    <xf numFmtId="0" fontId="8" fillId="0" borderId="6" xfId="5" applyFont="1" applyBorder="1" applyAlignment="1">
      <alignment horizontal="left" vertical="center"/>
    </xf>
    <xf numFmtId="43" fontId="8" fillId="0" borderId="7" xfId="1" applyFont="1" applyBorder="1" applyAlignment="1">
      <alignment horizontal="left" vertical="center"/>
    </xf>
    <xf numFmtId="0" fontId="8" fillId="6" borderId="6" xfId="5" applyFont="1" applyFill="1" applyBorder="1" applyAlignment="1">
      <alignment horizontal="left" vertical="center"/>
    </xf>
    <xf numFmtId="43" fontId="8" fillId="0" borderId="0" xfId="1" applyFont="1" applyBorder="1" applyAlignment="1">
      <alignment horizontal="left" vertical="center"/>
    </xf>
    <xf numFmtId="43" fontId="8" fillId="0" borderId="7" xfId="5" applyNumberFormat="1" applyFont="1" applyBorder="1" applyAlignment="1">
      <alignment horizontal="left" vertical="center"/>
    </xf>
    <xf numFmtId="43" fontId="8" fillId="0" borderId="0" xfId="5" applyNumberFormat="1" applyFont="1" applyBorder="1" applyAlignment="1">
      <alignment horizontal="left" vertical="center"/>
    </xf>
    <xf numFmtId="43" fontId="8" fillId="0" borderId="13" xfId="5" applyNumberFormat="1" applyFont="1" applyBorder="1" applyAlignment="1">
      <alignment horizontal="left" vertical="center"/>
    </xf>
    <xf numFmtId="43" fontId="8" fillId="0" borderId="12" xfId="2" applyNumberFormat="1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 wrapText="1"/>
    </xf>
    <xf numFmtId="43" fontId="8" fillId="0" borderId="13" xfId="2" applyNumberFormat="1" applyFont="1" applyBorder="1" applyAlignment="1">
      <alignment horizontal="left" vertical="center"/>
    </xf>
    <xf numFmtId="0" fontId="8" fillId="0" borderId="2" xfId="2" applyFont="1" applyBorder="1" applyAlignment="1">
      <alignment horizontal="center" vertical="center" wrapText="1"/>
    </xf>
    <xf numFmtId="165" fontId="11" fillId="0" borderId="2" xfId="1" applyNumberFormat="1" applyFont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4" fontId="10" fillId="0" borderId="2" xfId="3" applyNumberFormat="1" applyFont="1" applyFill="1" applyBorder="1" applyAlignment="1" applyProtection="1">
      <alignment horizontal="center" vertical="center"/>
      <protection locked="0"/>
    </xf>
    <xf numFmtId="0" fontId="12" fillId="0" borderId="3" xfId="2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4" fontId="10" fillId="0" borderId="2" xfId="4" applyNumberFormat="1" applyFont="1" applyFill="1" applyBorder="1" applyAlignment="1" applyProtection="1">
      <alignment vertical="center"/>
      <protection locked="0"/>
    </xf>
    <xf numFmtId="0" fontId="8" fillId="3" borderId="3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4" fontId="8" fillId="0" borderId="2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vertical="center"/>
    </xf>
    <xf numFmtId="0" fontId="8" fillId="5" borderId="6" xfId="5" applyFont="1" applyFill="1" applyBorder="1" applyAlignment="1">
      <alignment horizontal="left" vertical="center"/>
    </xf>
    <xf numFmtId="43" fontId="8" fillId="5" borderId="0" xfId="1" applyFont="1" applyFill="1" applyBorder="1" applyAlignment="1">
      <alignment horizontal="left" vertical="center"/>
    </xf>
    <xf numFmtId="43" fontId="8" fillId="5" borderId="7" xfId="1" applyFont="1" applyFill="1" applyBorder="1" applyAlignment="1">
      <alignment horizontal="left" vertical="center"/>
    </xf>
    <xf numFmtId="0" fontId="8" fillId="0" borderId="8" xfId="5" applyFont="1" applyBorder="1" applyAlignment="1">
      <alignment horizontal="left" vertical="center"/>
    </xf>
    <xf numFmtId="43" fontId="8" fillId="0" borderId="9" xfId="1" applyFont="1" applyBorder="1" applyAlignment="1">
      <alignment horizontal="left" vertical="center"/>
    </xf>
    <xf numFmtId="43" fontId="8" fillId="0" borderId="11" xfId="1" applyFont="1" applyBorder="1" applyAlignment="1">
      <alignment horizontal="left" vertical="center"/>
    </xf>
    <xf numFmtId="43" fontId="8" fillId="0" borderId="9" xfId="5" applyNumberFormat="1" applyFont="1" applyBorder="1" applyAlignment="1">
      <alignment horizontal="left" vertical="center"/>
    </xf>
    <xf numFmtId="43" fontId="8" fillId="0" borderId="14" xfId="5" applyNumberFormat="1" applyFont="1" applyBorder="1" applyAlignment="1">
      <alignment horizontal="left" vertical="center"/>
    </xf>
    <xf numFmtId="43" fontId="8" fillId="0" borderId="14" xfId="2" applyNumberFormat="1" applyFont="1" applyBorder="1" applyAlignment="1">
      <alignment horizontal="left" vertical="center"/>
    </xf>
    <xf numFmtId="4" fontId="8" fillId="0" borderId="0" xfId="2" applyNumberFormat="1" applyFont="1" applyAlignment="1">
      <alignment horizontal="center" vertical="center"/>
    </xf>
    <xf numFmtId="43" fontId="8" fillId="0" borderId="0" xfId="2" applyNumberFormat="1" applyFont="1" applyAlignment="1">
      <alignment horizontal="left" vertical="center"/>
    </xf>
    <xf numFmtId="10" fontId="8" fillId="0" borderId="0" xfId="6" applyNumberFormat="1" applyFont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9" xfId="2" applyFont="1" applyBorder="1" applyAlignment="1">
      <alignment horizontal="center" vertical="center" wrapText="1"/>
    </xf>
  </cellXfs>
  <cellStyles count="7">
    <cellStyle name="Comma" xfId="1" builtinId="3"/>
    <cellStyle name="Comma 2" xfId="3" xr:uid="{00000000-0005-0000-0000-000001000000}"/>
    <cellStyle name="Currency 2" xfId="4" xr:uid="{00000000-0005-0000-0000-000002000000}"/>
    <cellStyle name="Normal" xfId="0" builtinId="0"/>
    <cellStyle name="Normal 2" xfId="2" xr:uid="{00000000-0005-0000-0000-000004000000}"/>
    <cellStyle name="Normal 2 2" xfId="5" xr:uid="{00000000-0005-0000-0000-000005000000}"/>
    <cellStyle name="Percent" xfId="6" builtinId="5"/>
  </cellStyles>
  <dxfs count="6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rightToLeft="1" tabSelected="1" zoomScale="85" zoomScaleNormal="85" zoomScaleSheetLayoutView="85" zoomScalePageLayoutView="40" workbookViewId="0">
      <pane ySplit="5" topLeftCell="A6" activePane="bottomLeft" state="frozen"/>
      <selection pane="bottomLeft" activeCell="AF4" sqref="AF4"/>
    </sheetView>
  </sheetViews>
  <sheetFormatPr defaultColWidth="9.140625" defaultRowHeight="21" x14ac:dyDescent="0.25"/>
  <cols>
    <col min="1" max="1" width="4.85546875" style="15" bestFit="1" customWidth="1"/>
    <col min="2" max="2" width="36.85546875" style="15" hidden="1" customWidth="1"/>
    <col min="3" max="3" width="85.85546875" style="16" customWidth="1"/>
    <col min="4" max="4" width="33.42578125" style="75" customWidth="1"/>
    <col min="5" max="5" width="12.5703125" style="15" customWidth="1"/>
    <col min="6" max="6" width="24.42578125" style="15" customWidth="1"/>
    <col min="7" max="7" width="15.85546875" style="72" hidden="1" customWidth="1"/>
    <col min="8" max="8" width="16.85546875" style="72" hidden="1" customWidth="1"/>
    <col min="9" max="9" width="16.85546875" style="15" customWidth="1"/>
    <col min="10" max="10" width="11.85546875" style="15" customWidth="1"/>
    <col min="11" max="11" width="17" style="18" hidden="1" customWidth="1"/>
    <col min="12" max="12" width="15.85546875" style="18" hidden="1" customWidth="1"/>
    <col min="13" max="13" width="15.5703125" style="18" hidden="1" customWidth="1"/>
    <col min="14" max="14" width="16.42578125" style="18" hidden="1" customWidth="1"/>
    <col min="15" max="16" width="9.140625" style="18" hidden="1" customWidth="1"/>
    <col min="17" max="17" width="15.140625" style="18" hidden="1" customWidth="1"/>
    <col min="18" max="18" width="16.42578125" style="18" hidden="1" customWidth="1"/>
    <col min="19" max="19" width="9.140625" style="18" hidden="1" customWidth="1"/>
    <col min="20" max="20" width="15.140625" style="18" hidden="1" customWidth="1"/>
    <col min="21" max="21" width="16.42578125" style="18" hidden="1" customWidth="1"/>
    <col min="22" max="22" width="9.140625" style="18" hidden="1" customWidth="1"/>
    <col min="23" max="23" width="15.140625" style="18" hidden="1" customWidth="1"/>
    <col min="24" max="24" width="0" style="18" hidden="1" customWidth="1"/>
    <col min="25" max="29" width="16.42578125" style="18" hidden="1" customWidth="1"/>
    <col min="30" max="30" width="0" style="18" hidden="1" customWidth="1"/>
    <col min="31" max="31" width="16.42578125" style="18" hidden="1" customWidth="1"/>
    <col min="32" max="16384" width="9.140625" style="18"/>
  </cols>
  <sheetData>
    <row r="1" spans="1:31" ht="21.75" thickBot="1" x14ac:dyDescent="0.3">
      <c r="G1" s="17" t="s">
        <v>158</v>
      </c>
      <c r="H1" s="17"/>
    </row>
    <row r="2" spans="1:31" x14ac:dyDescent="0.25">
      <c r="C2" s="76" t="s">
        <v>170</v>
      </c>
      <c r="D2" s="77"/>
      <c r="G2" s="17"/>
      <c r="H2" s="17"/>
    </row>
    <row r="3" spans="1:31" ht="21.75" thickBot="1" x14ac:dyDescent="0.3">
      <c r="C3" s="78"/>
      <c r="D3" s="79"/>
      <c r="G3" s="17"/>
      <c r="H3" s="17"/>
    </row>
    <row r="4" spans="1:31" ht="21.75" thickBot="1" x14ac:dyDescent="0.3">
      <c r="G4" s="19"/>
      <c r="H4" s="19"/>
      <c r="M4" s="20" t="s">
        <v>159</v>
      </c>
      <c r="N4" s="21"/>
      <c r="P4" s="20" t="s">
        <v>160</v>
      </c>
      <c r="Q4" s="22"/>
      <c r="R4" s="21"/>
    </row>
    <row r="5" spans="1:31" ht="42.75" thickBot="1" x14ac:dyDescent="0.3">
      <c r="A5" s="23" t="s">
        <v>0</v>
      </c>
      <c r="B5" s="24" t="s">
        <v>1</v>
      </c>
      <c r="C5" s="24" t="s">
        <v>3</v>
      </c>
      <c r="D5" s="24" t="s">
        <v>4</v>
      </c>
      <c r="E5" s="23" t="s">
        <v>2</v>
      </c>
      <c r="F5" s="23" t="s">
        <v>148</v>
      </c>
      <c r="G5" s="25" t="s">
        <v>5</v>
      </c>
      <c r="H5" s="25" t="s">
        <v>6</v>
      </c>
      <c r="I5" s="26" t="s">
        <v>7</v>
      </c>
      <c r="J5" s="26" t="s">
        <v>8</v>
      </c>
      <c r="K5" s="18" t="s">
        <v>9</v>
      </c>
      <c r="L5" s="18" t="s">
        <v>10</v>
      </c>
      <c r="M5" s="27"/>
      <c r="N5" s="28"/>
      <c r="P5" s="27"/>
      <c r="Q5" s="29"/>
      <c r="R5" s="28"/>
      <c r="T5" s="20" t="s">
        <v>159</v>
      </c>
      <c r="U5" s="21"/>
      <c r="V5" s="20" t="s">
        <v>161</v>
      </c>
      <c r="W5" s="21"/>
      <c r="X5" s="20" t="s">
        <v>162</v>
      </c>
      <c r="Y5" s="21"/>
      <c r="Z5" s="20" t="s">
        <v>169</v>
      </c>
      <c r="AA5" s="21"/>
      <c r="AB5" s="30"/>
      <c r="AC5" s="31" t="s">
        <v>164</v>
      </c>
      <c r="AE5" s="32" t="s">
        <v>163</v>
      </c>
    </row>
    <row r="6" spans="1:31" ht="94.5" customHeight="1" x14ac:dyDescent="0.25">
      <c r="A6" s="33">
        <v>1</v>
      </c>
      <c r="B6" s="33" t="s">
        <v>11</v>
      </c>
      <c r="C6" s="33" t="s">
        <v>12</v>
      </c>
      <c r="D6" s="33" t="s">
        <v>13</v>
      </c>
      <c r="E6" s="33">
        <v>169</v>
      </c>
      <c r="F6" s="34" t="s">
        <v>149</v>
      </c>
      <c r="G6" s="35">
        <v>61000</v>
      </c>
      <c r="H6" s="35">
        <f>G6*E6</f>
        <v>10309000</v>
      </c>
      <c r="I6" s="36">
        <v>169</v>
      </c>
      <c r="J6" s="37">
        <f>E6-I6</f>
        <v>0</v>
      </c>
      <c r="K6" s="18">
        <f>M6+T6+V6+X6+Z6</f>
        <v>169</v>
      </c>
      <c r="L6" s="18">
        <f>I6-K6</f>
        <v>0</v>
      </c>
      <c r="M6" s="38">
        <v>161</v>
      </c>
      <c r="N6" s="39">
        <f>M6*G6</f>
        <v>9821000</v>
      </c>
      <c r="P6" s="40">
        <v>8</v>
      </c>
      <c r="Q6" s="41">
        <v>125806</v>
      </c>
      <c r="R6" s="39">
        <f>Q6*P6</f>
        <v>1006448</v>
      </c>
      <c r="T6" s="38">
        <v>7</v>
      </c>
      <c r="U6" s="42">
        <f>T6*Q6</f>
        <v>880642</v>
      </c>
      <c r="V6" s="38"/>
      <c r="W6" s="42">
        <f>V6*Q6</f>
        <v>0</v>
      </c>
      <c r="X6" s="38">
        <v>1</v>
      </c>
      <c r="Y6" s="42">
        <f>X6*Q6</f>
        <v>125806</v>
      </c>
      <c r="Z6" s="38"/>
      <c r="AA6" s="42">
        <f>Z6*Q6</f>
        <v>0</v>
      </c>
      <c r="AB6" s="43"/>
      <c r="AC6" s="44">
        <f>L6*Q6</f>
        <v>0</v>
      </c>
      <c r="AE6" s="45">
        <f>J6*Q6</f>
        <v>0</v>
      </c>
    </row>
    <row r="7" spans="1:31" ht="94.5" customHeight="1" x14ac:dyDescent="0.25">
      <c r="A7" s="33">
        <v>2</v>
      </c>
      <c r="B7" s="33" t="s">
        <v>14</v>
      </c>
      <c r="C7" s="46" t="s">
        <v>15</v>
      </c>
      <c r="D7" s="33" t="s">
        <v>16</v>
      </c>
      <c r="E7" s="33">
        <v>179</v>
      </c>
      <c r="F7" s="34" t="s">
        <v>149</v>
      </c>
      <c r="G7" s="35">
        <v>77000</v>
      </c>
      <c r="H7" s="35">
        <f>G7*E7</f>
        <v>13783000</v>
      </c>
      <c r="I7" s="36">
        <v>179</v>
      </c>
      <c r="J7" s="37">
        <f>E7-I7</f>
        <v>0</v>
      </c>
      <c r="K7" s="18">
        <f t="shared" ref="K7:K70" si="0">M7+T7+V7+X7+Z7</f>
        <v>179</v>
      </c>
      <c r="L7" s="18">
        <f t="shared" ref="L7:L70" si="1">I7-K7</f>
        <v>0</v>
      </c>
      <c r="M7" s="38">
        <v>160</v>
      </c>
      <c r="N7" s="39">
        <f>M7*G7</f>
        <v>12320000</v>
      </c>
      <c r="P7" s="40">
        <v>19</v>
      </c>
      <c r="Q7" s="41">
        <v>158804</v>
      </c>
      <c r="R7" s="39">
        <f t="shared" ref="R7:R70" si="2">Q7*P7</f>
        <v>3017276</v>
      </c>
      <c r="T7" s="38">
        <v>19</v>
      </c>
      <c r="U7" s="42">
        <f t="shared" ref="U7:U70" si="3">T7*Q7</f>
        <v>3017276</v>
      </c>
      <c r="V7" s="38"/>
      <c r="W7" s="42">
        <f t="shared" ref="W7:W70" si="4">V7*Q7</f>
        <v>0</v>
      </c>
      <c r="X7" s="38">
        <v>0</v>
      </c>
      <c r="Y7" s="42">
        <f t="shared" ref="Y7:Y70" si="5">X7*Q7</f>
        <v>0</v>
      </c>
      <c r="Z7" s="38">
        <v>0</v>
      </c>
      <c r="AA7" s="42">
        <f t="shared" ref="AA7:AA70" si="6">Z7*Q7</f>
        <v>0</v>
      </c>
      <c r="AB7" s="43"/>
      <c r="AC7" s="44">
        <f t="shared" ref="AC7:AC70" si="7">L7*Q7</f>
        <v>0</v>
      </c>
      <c r="AE7" s="47">
        <f t="shared" ref="AE7:AE70" si="8">J7*Q7</f>
        <v>0</v>
      </c>
    </row>
    <row r="8" spans="1:31" ht="94.5" customHeight="1" x14ac:dyDescent="0.25">
      <c r="A8" s="33">
        <v>3</v>
      </c>
      <c r="B8" s="33" t="s">
        <v>17</v>
      </c>
      <c r="C8" s="48" t="s">
        <v>18</v>
      </c>
      <c r="D8" s="33" t="s">
        <v>19</v>
      </c>
      <c r="E8" s="33">
        <v>22</v>
      </c>
      <c r="F8" s="34" t="s">
        <v>149</v>
      </c>
      <c r="G8" s="35">
        <v>230000</v>
      </c>
      <c r="H8" s="35">
        <f>G8*E8</f>
        <v>5060000</v>
      </c>
      <c r="I8" s="36">
        <v>22</v>
      </c>
      <c r="J8" s="37">
        <f>E8-I8</f>
        <v>0</v>
      </c>
      <c r="K8" s="18">
        <f t="shared" si="0"/>
        <v>22</v>
      </c>
      <c r="L8" s="18">
        <f t="shared" si="1"/>
        <v>0</v>
      </c>
      <c r="M8" s="38">
        <v>20</v>
      </c>
      <c r="N8" s="39">
        <f>M8*G8</f>
        <v>4600000</v>
      </c>
      <c r="P8" s="40">
        <v>2</v>
      </c>
      <c r="Q8" s="41">
        <v>474351</v>
      </c>
      <c r="R8" s="39">
        <f t="shared" si="2"/>
        <v>948702</v>
      </c>
      <c r="T8" s="38"/>
      <c r="U8" s="42">
        <f t="shared" si="3"/>
        <v>0</v>
      </c>
      <c r="V8" s="38">
        <v>2</v>
      </c>
      <c r="W8" s="42">
        <f t="shared" si="4"/>
        <v>948702</v>
      </c>
      <c r="X8" s="38">
        <v>0</v>
      </c>
      <c r="Y8" s="42">
        <f t="shared" si="5"/>
        <v>0</v>
      </c>
      <c r="Z8" s="38">
        <v>0</v>
      </c>
      <c r="AA8" s="42">
        <f t="shared" si="6"/>
        <v>0</v>
      </c>
      <c r="AB8" s="43"/>
      <c r="AC8" s="44">
        <f t="shared" si="7"/>
        <v>0</v>
      </c>
      <c r="AE8" s="47">
        <f t="shared" si="8"/>
        <v>0</v>
      </c>
    </row>
    <row r="9" spans="1:31" ht="94.5" customHeight="1" x14ac:dyDescent="0.25">
      <c r="A9" s="33">
        <v>4</v>
      </c>
      <c r="B9" s="33" t="s">
        <v>20</v>
      </c>
      <c r="C9" s="33" t="s">
        <v>21</v>
      </c>
      <c r="D9" s="33" t="s">
        <v>22</v>
      </c>
      <c r="E9" s="33">
        <v>19</v>
      </c>
      <c r="F9" s="34" t="s">
        <v>149</v>
      </c>
      <c r="G9" s="35">
        <v>215000</v>
      </c>
      <c r="H9" s="35">
        <f>G9*E9</f>
        <v>4085000</v>
      </c>
      <c r="I9" s="36">
        <v>19</v>
      </c>
      <c r="J9" s="37">
        <f>E9-I9</f>
        <v>0</v>
      </c>
      <c r="K9" s="18">
        <f t="shared" si="0"/>
        <v>19</v>
      </c>
      <c r="L9" s="18">
        <f t="shared" si="1"/>
        <v>0</v>
      </c>
      <c r="M9" s="38">
        <v>17</v>
      </c>
      <c r="N9" s="39">
        <f>M9*G9</f>
        <v>3655000</v>
      </c>
      <c r="P9" s="40">
        <v>2</v>
      </c>
      <c r="Q9" s="41">
        <v>443415</v>
      </c>
      <c r="R9" s="39">
        <f t="shared" si="2"/>
        <v>886830</v>
      </c>
      <c r="T9" s="38"/>
      <c r="U9" s="42">
        <f t="shared" si="3"/>
        <v>0</v>
      </c>
      <c r="V9" s="38">
        <v>2</v>
      </c>
      <c r="W9" s="42">
        <f t="shared" si="4"/>
        <v>886830</v>
      </c>
      <c r="X9" s="38">
        <v>0</v>
      </c>
      <c r="Y9" s="42">
        <f t="shared" si="5"/>
        <v>0</v>
      </c>
      <c r="Z9" s="38">
        <v>0</v>
      </c>
      <c r="AA9" s="42">
        <f t="shared" si="6"/>
        <v>0</v>
      </c>
      <c r="AB9" s="43"/>
      <c r="AC9" s="44">
        <f t="shared" si="7"/>
        <v>0</v>
      </c>
      <c r="AE9" s="47">
        <f t="shared" si="8"/>
        <v>0</v>
      </c>
    </row>
    <row r="10" spans="1:31" ht="47.25" customHeight="1" x14ac:dyDescent="0.25">
      <c r="A10" s="48">
        <v>5</v>
      </c>
      <c r="B10" s="48" t="s">
        <v>23</v>
      </c>
      <c r="C10" s="46" t="s">
        <v>24</v>
      </c>
      <c r="D10" s="48"/>
      <c r="E10" s="48">
        <v>1805</v>
      </c>
      <c r="F10" s="34" t="s">
        <v>150</v>
      </c>
      <c r="G10" s="35">
        <v>4000</v>
      </c>
      <c r="H10" s="35">
        <f>G10*E10</f>
        <v>7220000</v>
      </c>
      <c r="I10" s="36">
        <v>0</v>
      </c>
      <c r="J10" s="37">
        <f>E10-I10</f>
        <v>1805</v>
      </c>
      <c r="K10" s="18">
        <f t="shared" si="0"/>
        <v>0</v>
      </c>
      <c r="L10" s="18">
        <f t="shared" si="1"/>
        <v>0</v>
      </c>
      <c r="M10" s="38">
        <v>0</v>
      </c>
      <c r="N10" s="39">
        <f>M10*G10</f>
        <v>0</v>
      </c>
      <c r="P10" s="38">
        <v>1805</v>
      </c>
      <c r="Q10" s="41">
        <v>6500</v>
      </c>
      <c r="R10" s="39">
        <f t="shared" si="2"/>
        <v>11732500</v>
      </c>
      <c r="T10" s="38"/>
      <c r="U10" s="42">
        <f t="shared" si="3"/>
        <v>0</v>
      </c>
      <c r="V10" s="38"/>
      <c r="W10" s="42">
        <f t="shared" si="4"/>
        <v>0</v>
      </c>
      <c r="X10" s="38"/>
      <c r="Y10" s="42">
        <f t="shared" si="5"/>
        <v>0</v>
      </c>
      <c r="Z10" s="38"/>
      <c r="AA10" s="42">
        <f t="shared" si="6"/>
        <v>0</v>
      </c>
      <c r="AB10" s="43"/>
      <c r="AC10" s="44">
        <f t="shared" si="7"/>
        <v>0</v>
      </c>
      <c r="AE10" s="47">
        <f t="shared" si="8"/>
        <v>11732500</v>
      </c>
    </row>
    <row r="11" spans="1:31" ht="55.5" customHeight="1" x14ac:dyDescent="0.25">
      <c r="A11" s="48">
        <v>6</v>
      </c>
      <c r="B11" s="48" t="s">
        <v>25</v>
      </c>
      <c r="C11" s="48" t="s">
        <v>26</v>
      </c>
      <c r="D11" s="48"/>
      <c r="E11" s="48">
        <v>30</v>
      </c>
      <c r="F11" s="34" t="s">
        <v>150</v>
      </c>
      <c r="G11" s="49">
        <v>17000</v>
      </c>
      <c r="H11" s="35">
        <f>G11*E11</f>
        <v>510000</v>
      </c>
      <c r="I11" s="36">
        <v>0</v>
      </c>
      <c r="J11" s="37">
        <f>E11-I11</f>
        <v>30</v>
      </c>
      <c r="K11" s="18">
        <f t="shared" si="0"/>
        <v>0</v>
      </c>
      <c r="L11" s="18">
        <f t="shared" si="1"/>
        <v>0</v>
      </c>
      <c r="M11" s="38">
        <v>0</v>
      </c>
      <c r="N11" s="39">
        <f>M11*G11</f>
        <v>0</v>
      </c>
      <c r="P11" s="38">
        <v>30</v>
      </c>
      <c r="Q11" s="41">
        <v>35060</v>
      </c>
      <c r="R11" s="39">
        <f t="shared" si="2"/>
        <v>1051800</v>
      </c>
      <c r="T11" s="38"/>
      <c r="U11" s="42">
        <f t="shared" si="3"/>
        <v>0</v>
      </c>
      <c r="V11" s="38"/>
      <c r="W11" s="42">
        <f t="shared" si="4"/>
        <v>0</v>
      </c>
      <c r="X11" s="38"/>
      <c r="Y11" s="42">
        <f t="shared" si="5"/>
        <v>0</v>
      </c>
      <c r="Z11" s="38"/>
      <c r="AA11" s="42">
        <f t="shared" si="6"/>
        <v>0</v>
      </c>
      <c r="AB11" s="43"/>
      <c r="AC11" s="44">
        <f t="shared" si="7"/>
        <v>0</v>
      </c>
      <c r="AE11" s="47">
        <f t="shared" si="8"/>
        <v>1051800</v>
      </c>
    </row>
    <row r="12" spans="1:31" ht="43.5" customHeight="1" x14ac:dyDescent="0.25">
      <c r="A12" s="48">
        <v>7</v>
      </c>
      <c r="B12" s="48" t="s">
        <v>27</v>
      </c>
      <c r="C12" s="48" t="s">
        <v>28</v>
      </c>
      <c r="D12" s="48" t="s">
        <v>144</v>
      </c>
      <c r="E12" s="48">
        <v>1028</v>
      </c>
      <c r="F12" s="34" t="s">
        <v>149</v>
      </c>
      <c r="G12" s="35">
        <v>6000</v>
      </c>
      <c r="H12" s="35">
        <f>G12*E12</f>
        <v>6168000</v>
      </c>
      <c r="I12" s="36">
        <v>1028</v>
      </c>
      <c r="J12" s="37">
        <f>E12-I12</f>
        <v>0</v>
      </c>
      <c r="K12" s="18">
        <f t="shared" si="0"/>
        <v>1028</v>
      </c>
      <c r="L12" s="18">
        <f t="shared" si="1"/>
        <v>0</v>
      </c>
      <c r="M12" s="38">
        <v>1018</v>
      </c>
      <c r="N12" s="39">
        <f>M12*G12</f>
        <v>6108000</v>
      </c>
      <c r="P12" s="40">
        <v>10</v>
      </c>
      <c r="Q12" s="41">
        <v>12374</v>
      </c>
      <c r="R12" s="39">
        <f t="shared" si="2"/>
        <v>123740</v>
      </c>
      <c r="T12" s="38"/>
      <c r="U12" s="42">
        <f t="shared" si="3"/>
        <v>0</v>
      </c>
      <c r="V12" s="38">
        <v>10</v>
      </c>
      <c r="W12" s="42">
        <f t="shared" si="4"/>
        <v>123740</v>
      </c>
      <c r="X12" s="38">
        <v>0</v>
      </c>
      <c r="Y12" s="42">
        <f t="shared" si="5"/>
        <v>0</v>
      </c>
      <c r="Z12" s="38">
        <v>0</v>
      </c>
      <c r="AA12" s="42">
        <f t="shared" si="6"/>
        <v>0</v>
      </c>
      <c r="AB12" s="43"/>
      <c r="AC12" s="44">
        <f t="shared" si="7"/>
        <v>0</v>
      </c>
      <c r="AE12" s="47">
        <f t="shared" si="8"/>
        <v>0</v>
      </c>
    </row>
    <row r="13" spans="1:31" ht="51" customHeight="1" x14ac:dyDescent="0.25">
      <c r="A13" s="48">
        <v>8</v>
      </c>
      <c r="B13" s="48" t="s">
        <v>29</v>
      </c>
      <c r="C13" s="48" t="s">
        <v>30</v>
      </c>
      <c r="D13" s="48" t="s">
        <v>31</v>
      </c>
      <c r="E13" s="48">
        <v>70</v>
      </c>
      <c r="F13" s="34" t="s">
        <v>149</v>
      </c>
      <c r="G13" s="35">
        <v>10000</v>
      </c>
      <c r="H13" s="35">
        <f>G13*E13</f>
        <v>700000</v>
      </c>
      <c r="I13" s="36">
        <v>70</v>
      </c>
      <c r="J13" s="37">
        <f>E13-I13</f>
        <v>0</v>
      </c>
      <c r="K13" s="18">
        <f t="shared" si="0"/>
        <v>70</v>
      </c>
      <c r="L13" s="18">
        <f t="shared" si="1"/>
        <v>0</v>
      </c>
      <c r="M13" s="38">
        <v>0</v>
      </c>
      <c r="N13" s="39">
        <f>M13*G13</f>
        <v>0</v>
      </c>
      <c r="P13" s="40">
        <v>70</v>
      </c>
      <c r="Q13" s="41">
        <v>20623</v>
      </c>
      <c r="R13" s="39">
        <f t="shared" si="2"/>
        <v>1443610</v>
      </c>
      <c r="T13" s="38"/>
      <c r="U13" s="42">
        <f t="shared" si="3"/>
        <v>0</v>
      </c>
      <c r="V13" s="38">
        <v>0</v>
      </c>
      <c r="W13" s="42">
        <f t="shared" si="4"/>
        <v>0</v>
      </c>
      <c r="X13" s="38">
        <v>70</v>
      </c>
      <c r="Y13" s="42">
        <f t="shared" si="5"/>
        <v>1443610</v>
      </c>
      <c r="Z13" s="38">
        <v>0</v>
      </c>
      <c r="AA13" s="42">
        <f t="shared" si="6"/>
        <v>0</v>
      </c>
      <c r="AB13" s="43"/>
      <c r="AC13" s="44">
        <f t="shared" si="7"/>
        <v>0</v>
      </c>
      <c r="AE13" s="47">
        <f t="shared" si="8"/>
        <v>0</v>
      </c>
    </row>
    <row r="14" spans="1:31" ht="35.450000000000003" customHeight="1" x14ac:dyDescent="0.25">
      <c r="A14" s="33">
        <v>9</v>
      </c>
      <c r="B14" s="33" t="s">
        <v>32</v>
      </c>
      <c r="C14" s="33" t="s">
        <v>33</v>
      </c>
      <c r="D14" s="33" t="s">
        <v>34</v>
      </c>
      <c r="E14" s="33">
        <v>7</v>
      </c>
      <c r="F14" s="34" t="s">
        <v>149</v>
      </c>
      <c r="G14" s="35">
        <v>10000</v>
      </c>
      <c r="H14" s="35">
        <f>G14*E14</f>
        <v>70000</v>
      </c>
      <c r="I14" s="36">
        <v>7</v>
      </c>
      <c r="J14" s="37">
        <f>E14-I14</f>
        <v>0</v>
      </c>
      <c r="K14" s="18">
        <f t="shared" si="0"/>
        <v>7</v>
      </c>
      <c r="L14" s="18">
        <f t="shared" si="1"/>
        <v>0</v>
      </c>
      <c r="M14" s="38">
        <v>0</v>
      </c>
      <c r="N14" s="39">
        <f>M14*G14</f>
        <v>0</v>
      </c>
      <c r="P14" s="40">
        <v>7</v>
      </c>
      <c r="Q14" s="41">
        <v>20623</v>
      </c>
      <c r="R14" s="39">
        <f t="shared" si="2"/>
        <v>144361</v>
      </c>
      <c r="T14" s="38"/>
      <c r="U14" s="42">
        <f t="shared" si="3"/>
        <v>0</v>
      </c>
      <c r="V14" s="38">
        <v>7</v>
      </c>
      <c r="W14" s="42">
        <f t="shared" si="4"/>
        <v>144361</v>
      </c>
      <c r="X14" s="38">
        <v>0</v>
      </c>
      <c r="Y14" s="42">
        <f t="shared" si="5"/>
        <v>0</v>
      </c>
      <c r="Z14" s="38">
        <v>0</v>
      </c>
      <c r="AA14" s="42">
        <f t="shared" si="6"/>
        <v>0</v>
      </c>
      <c r="AB14" s="43"/>
      <c r="AC14" s="44">
        <f t="shared" si="7"/>
        <v>0</v>
      </c>
      <c r="AE14" s="47">
        <f t="shared" si="8"/>
        <v>0</v>
      </c>
    </row>
    <row r="15" spans="1:31" ht="67.5" customHeight="1" x14ac:dyDescent="0.25">
      <c r="A15" s="50">
        <v>10</v>
      </c>
      <c r="B15" s="50"/>
      <c r="C15" s="50" t="s">
        <v>35</v>
      </c>
      <c r="D15" s="48" t="s">
        <v>36</v>
      </c>
      <c r="E15" s="50">
        <v>3</v>
      </c>
      <c r="F15" s="34" t="s">
        <v>149</v>
      </c>
      <c r="G15" s="35">
        <v>460000</v>
      </c>
      <c r="H15" s="35">
        <f>G15*E15</f>
        <v>1380000</v>
      </c>
      <c r="I15" s="36">
        <v>0</v>
      </c>
      <c r="J15" s="37">
        <f>E15-I15</f>
        <v>3</v>
      </c>
      <c r="K15" s="18">
        <f t="shared" si="0"/>
        <v>0</v>
      </c>
      <c r="L15" s="18">
        <f t="shared" si="1"/>
        <v>0</v>
      </c>
      <c r="M15" s="38">
        <v>0</v>
      </c>
      <c r="N15" s="39">
        <f>M15*G15</f>
        <v>0</v>
      </c>
      <c r="P15" s="38">
        <v>3</v>
      </c>
      <c r="Q15" s="41">
        <v>948703</v>
      </c>
      <c r="R15" s="39">
        <f t="shared" si="2"/>
        <v>2846109</v>
      </c>
      <c r="T15" s="38"/>
      <c r="U15" s="42">
        <f t="shared" si="3"/>
        <v>0</v>
      </c>
      <c r="V15" s="38"/>
      <c r="W15" s="42">
        <f t="shared" si="4"/>
        <v>0</v>
      </c>
      <c r="X15" s="38">
        <v>0</v>
      </c>
      <c r="Y15" s="42">
        <f t="shared" si="5"/>
        <v>0</v>
      </c>
      <c r="Z15" s="38">
        <v>0</v>
      </c>
      <c r="AA15" s="42">
        <f t="shared" si="6"/>
        <v>0</v>
      </c>
      <c r="AB15" s="43"/>
      <c r="AC15" s="44">
        <f t="shared" si="7"/>
        <v>0</v>
      </c>
      <c r="AE15" s="47">
        <f t="shared" si="8"/>
        <v>2846109</v>
      </c>
    </row>
    <row r="16" spans="1:31" ht="35.450000000000003" customHeight="1" x14ac:dyDescent="0.25">
      <c r="A16" s="33">
        <v>11</v>
      </c>
      <c r="B16" s="33" t="s">
        <v>37</v>
      </c>
      <c r="C16" s="33" t="s">
        <v>38</v>
      </c>
      <c r="D16" s="33" t="s">
        <v>39</v>
      </c>
      <c r="E16" s="33">
        <v>4</v>
      </c>
      <c r="F16" s="48" t="s">
        <v>149</v>
      </c>
      <c r="G16" s="51">
        <v>390000</v>
      </c>
      <c r="H16" s="35">
        <f>G16*E16</f>
        <v>1560000</v>
      </c>
      <c r="I16" s="36">
        <v>0</v>
      </c>
      <c r="J16" s="37">
        <f>E16-I16</f>
        <v>4</v>
      </c>
      <c r="K16" s="18">
        <f t="shared" si="0"/>
        <v>0</v>
      </c>
      <c r="L16" s="18">
        <f t="shared" si="1"/>
        <v>0</v>
      </c>
      <c r="M16" s="38">
        <v>0</v>
      </c>
      <c r="N16" s="39">
        <f>M16*G16</f>
        <v>0</v>
      </c>
      <c r="P16" s="38">
        <v>4</v>
      </c>
      <c r="Q16" s="41">
        <v>804335</v>
      </c>
      <c r="R16" s="39">
        <f t="shared" si="2"/>
        <v>3217340</v>
      </c>
      <c r="T16" s="38"/>
      <c r="U16" s="42">
        <f t="shared" si="3"/>
        <v>0</v>
      </c>
      <c r="V16" s="38"/>
      <c r="W16" s="42">
        <f t="shared" si="4"/>
        <v>0</v>
      </c>
      <c r="X16" s="38">
        <v>0</v>
      </c>
      <c r="Y16" s="42">
        <f t="shared" si="5"/>
        <v>0</v>
      </c>
      <c r="Z16" s="38">
        <v>0</v>
      </c>
      <c r="AA16" s="42">
        <f t="shared" si="6"/>
        <v>0</v>
      </c>
      <c r="AB16" s="43"/>
      <c r="AC16" s="44">
        <f t="shared" si="7"/>
        <v>0</v>
      </c>
      <c r="AE16" s="47">
        <f t="shared" si="8"/>
        <v>3217340</v>
      </c>
    </row>
    <row r="17" spans="1:31" ht="59.25" customHeight="1" x14ac:dyDescent="0.25">
      <c r="A17" s="33">
        <v>12</v>
      </c>
      <c r="B17" s="33" t="s">
        <v>40</v>
      </c>
      <c r="C17" s="33" t="s">
        <v>41</v>
      </c>
      <c r="D17" s="33" t="s">
        <v>19</v>
      </c>
      <c r="E17" s="33">
        <v>4</v>
      </c>
      <c r="F17" s="34" t="s">
        <v>149</v>
      </c>
      <c r="G17" s="35">
        <v>115000</v>
      </c>
      <c r="H17" s="35">
        <f>G17*E17</f>
        <v>460000</v>
      </c>
      <c r="I17" s="36">
        <v>4</v>
      </c>
      <c r="J17" s="37">
        <f>E17-I17</f>
        <v>0</v>
      </c>
      <c r="K17" s="18">
        <f t="shared" si="0"/>
        <v>4</v>
      </c>
      <c r="L17" s="18">
        <f t="shared" si="1"/>
        <v>0</v>
      </c>
      <c r="M17" s="38">
        <v>0</v>
      </c>
      <c r="N17" s="39">
        <f>M17*G17</f>
        <v>0</v>
      </c>
      <c r="P17" s="40">
        <v>4</v>
      </c>
      <c r="Q17" s="41">
        <v>237175</v>
      </c>
      <c r="R17" s="39">
        <f t="shared" si="2"/>
        <v>948700</v>
      </c>
      <c r="T17" s="38"/>
      <c r="U17" s="42">
        <f t="shared" si="3"/>
        <v>0</v>
      </c>
      <c r="V17" s="38"/>
      <c r="W17" s="42">
        <f t="shared" si="4"/>
        <v>0</v>
      </c>
      <c r="X17" s="38">
        <v>4</v>
      </c>
      <c r="Y17" s="42">
        <f t="shared" si="5"/>
        <v>948700</v>
      </c>
      <c r="Z17" s="38">
        <v>0</v>
      </c>
      <c r="AA17" s="42">
        <f t="shared" si="6"/>
        <v>0</v>
      </c>
      <c r="AB17" s="43"/>
      <c r="AC17" s="44">
        <f t="shared" si="7"/>
        <v>0</v>
      </c>
      <c r="AE17" s="47">
        <f t="shared" si="8"/>
        <v>0</v>
      </c>
    </row>
    <row r="18" spans="1:31" ht="51.75" customHeight="1" x14ac:dyDescent="0.25">
      <c r="A18" s="33">
        <v>13</v>
      </c>
      <c r="B18" s="33" t="s">
        <v>42</v>
      </c>
      <c r="C18" s="33" t="s">
        <v>43</v>
      </c>
      <c r="D18" s="33" t="s">
        <v>44</v>
      </c>
      <c r="E18" s="33">
        <v>2</v>
      </c>
      <c r="F18" s="34" t="s">
        <v>149</v>
      </c>
      <c r="G18" s="35">
        <v>85000</v>
      </c>
      <c r="H18" s="35">
        <f>G18*E18</f>
        <v>170000</v>
      </c>
      <c r="I18" s="36">
        <v>0</v>
      </c>
      <c r="J18" s="37">
        <f>E18-I18</f>
        <v>2</v>
      </c>
      <c r="K18" s="18">
        <f t="shared" si="0"/>
        <v>0</v>
      </c>
      <c r="L18" s="18">
        <f t="shared" si="1"/>
        <v>0</v>
      </c>
      <c r="M18" s="38">
        <v>0</v>
      </c>
      <c r="N18" s="39">
        <f>M18*G18</f>
        <v>0</v>
      </c>
      <c r="P18" s="38">
        <v>2</v>
      </c>
      <c r="Q18" s="41">
        <v>175303</v>
      </c>
      <c r="R18" s="39">
        <f t="shared" si="2"/>
        <v>350606</v>
      </c>
      <c r="T18" s="38"/>
      <c r="U18" s="42">
        <f t="shared" si="3"/>
        <v>0</v>
      </c>
      <c r="V18" s="38"/>
      <c r="W18" s="42">
        <f t="shared" si="4"/>
        <v>0</v>
      </c>
      <c r="X18" s="38">
        <v>0</v>
      </c>
      <c r="Y18" s="42">
        <f t="shared" si="5"/>
        <v>0</v>
      </c>
      <c r="Z18" s="38">
        <v>0</v>
      </c>
      <c r="AA18" s="42">
        <f t="shared" si="6"/>
        <v>0</v>
      </c>
      <c r="AB18" s="43"/>
      <c r="AC18" s="44">
        <f t="shared" si="7"/>
        <v>0</v>
      </c>
      <c r="AE18" s="47">
        <f t="shared" si="8"/>
        <v>350606</v>
      </c>
    </row>
    <row r="19" spans="1:31" ht="30.6" customHeight="1" x14ac:dyDescent="0.25">
      <c r="A19" s="33">
        <v>14</v>
      </c>
      <c r="B19" s="33" t="s">
        <v>45</v>
      </c>
      <c r="C19" s="33" t="s">
        <v>46</v>
      </c>
      <c r="D19" s="33"/>
      <c r="E19" s="33">
        <v>2</v>
      </c>
      <c r="F19" s="34" t="s">
        <v>150</v>
      </c>
      <c r="G19" s="35">
        <v>320000</v>
      </c>
      <c r="H19" s="35">
        <f>G19*E19</f>
        <v>640000</v>
      </c>
      <c r="I19" s="36">
        <v>0</v>
      </c>
      <c r="J19" s="37">
        <f>E19-I19</f>
        <v>2</v>
      </c>
      <c r="K19" s="18">
        <f t="shared" si="0"/>
        <v>0</v>
      </c>
      <c r="L19" s="18">
        <f t="shared" si="1"/>
        <v>0</v>
      </c>
      <c r="M19" s="38">
        <v>0</v>
      </c>
      <c r="N19" s="39">
        <f>M19*G19</f>
        <v>0</v>
      </c>
      <c r="P19" s="38">
        <v>2</v>
      </c>
      <c r="Q19" s="41">
        <v>659967</v>
      </c>
      <c r="R19" s="39">
        <f t="shared" si="2"/>
        <v>1319934</v>
      </c>
      <c r="T19" s="38"/>
      <c r="U19" s="42">
        <f t="shared" si="3"/>
        <v>0</v>
      </c>
      <c r="V19" s="38"/>
      <c r="W19" s="42">
        <f t="shared" si="4"/>
        <v>0</v>
      </c>
      <c r="X19" s="38"/>
      <c r="Y19" s="42">
        <f t="shared" si="5"/>
        <v>0</v>
      </c>
      <c r="Z19" s="38"/>
      <c r="AA19" s="42">
        <f t="shared" si="6"/>
        <v>0</v>
      </c>
      <c r="AB19" s="43"/>
      <c r="AC19" s="44">
        <f t="shared" si="7"/>
        <v>0</v>
      </c>
      <c r="AE19" s="47">
        <f t="shared" si="8"/>
        <v>1319934</v>
      </c>
    </row>
    <row r="20" spans="1:31" ht="30" customHeight="1" x14ac:dyDescent="0.25">
      <c r="A20" s="52">
        <v>15</v>
      </c>
      <c r="B20" s="52" t="s">
        <v>47</v>
      </c>
      <c r="C20" s="52" t="s">
        <v>48</v>
      </c>
      <c r="D20" s="52"/>
      <c r="E20" s="52">
        <v>2</v>
      </c>
      <c r="F20" s="53" t="s">
        <v>150</v>
      </c>
      <c r="G20" s="54">
        <v>180000</v>
      </c>
      <c r="H20" s="35">
        <f>G20*E20</f>
        <v>360000</v>
      </c>
      <c r="I20" s="36">
        <v>0</v>
      </c>
      <c r="J20" s="37">
        <f>E20-I20</f>
        <v>2</v>
      </c>
      <c r="K20" s="18">
        <f t="shared" si="0"/>
        <v>0</v>
      </c>
      <c r="L20" s="18">
        <f t="shared" si="1"/>
        <v>0</v>
      </c>
      <c r="M20" s="38">
        <v>0</v>
      </c>
      <c r="N20" s="39">
        <f>M20*G20</f>
        <v>0</v>
      </c>
      <c r="P20" s="38">
        <v>2</v>
      </c>
      <c r="Q20" s="41">
        <v>371231</v>
      </c>
      <c r="R20" s="39">
        <f t="shared" si="2"/>
        <v>742462</v>
      </c>
      <c r="T20" s="38"/>
      <c r="U20" s="42">
        <f t="shared" si="3"/>
        <v>0</v>
      </c>
      <c r="V20" s="38"/>
      <c r="W20" s="42">
        <f t="shared" si="4"/>
        <v>0</v>
      </c>
      <c r="X20" s="38"/>
      <c r="Y20" s="42">
        <f t="shared" si="5"/>
        <v>0</v>
      </c>
      <c r="Z20" s="38"/>
      <c r="AA20" s="42">
        <f t="shared" si="6"/>
        <v>0</v>
      </c>
      <c r="AB20" s="43"/>
      <c r="AC20" s="44">
        <f t="shared" si="7"/>
        <v>0</v>
      </c>
      <c r="AE20" s="47">
        <f t="shared" si="8"/>
        <v>742462</v>
      </c>
    </row>
    <row r="21" spans="1:31" ht="70.5" customHeight="1" x14ac:dyDescent="0.25">
      <c r="A21" s="55">
        <v>16</v>
      </c>
      <c r="B21" s="55" t="s">
        <v>49</v>
      </c>
      <c r="C21" s="55" t="s">
        <v>50</v>
      </c>
      <c r="D21" s="55"/>
      <c r="E21" s="55">
        <v>2</v>
      </c>
      <c r="F21" s="53" t="s">
        <v>151</v>
      </c>
      <c r="G21" s="54">
        <v>330000</v>
      </c>
      <c r="H21" s="35">
        <f>G21*E21</f>
        <v>660000</v>
      </c>
      <c r="I21" s="36">
        <v>0</v>
      </c>
      <c r="J21" s="37">
        <f>E21-I21</f>
        <v>2</v>
      </c>
      <c r="K21" s="18">
        <f t="shared" si="0"/>
        <v>0</v>
      </c>
      <c r="L21" s="18">
        <f t="shared" si="1"/>
        <v>0</v>
      </c>
      <c r="M21" s="38">
        <v>0</v>
      </c>
      <c r="N21" s="39">
        <f>M21*G21</f>
        <v>0</v>
      </c>
      <c r="P21" s="38">
        <v>2</v>
      </c>
      <c r="Q21" s="41">
        <v>680591</v>
      </c>
      <c r="R21" s="39">
        <f t="shared" si="2"/>
        <v>1361182</v>
      </c>
      <c r="T21" s="38"/>
      <c r="U21" s="42">
        <f t="shared" si="3"/>
        <v>0</v>
      </c>
      <c r="V21" s="38"/>
      <c r="W21" s="42">
        <f t="shared" si="4"/>
        <v>0</v>
      </c>
      <c r="X21" s="38"/>
      <c r="Y21" s="42">
        <f t="shared" si="5"/>
        <v>0</v>
      </c>
      <c r="Z21" s="38"/>
      <c r="AA21" s="42">
        <f t="shared" si="6"/>
        <v>0</v>
      </c>
      <c r="AB21" s="43"/>
      <c r="AC21" s="44">
        <f t="shared" si="7"/>
        <v>0</v>
      </c>
      <c r="AE21" s="47">
        <f t="shared" si="8"/>
        <v>1361182</v>
      </c>
    </row>
    <row r="22" spans="1:31" ht="101.25" customHeight="1" x14ac:dyDescent="0.25">
      <c r="A22" s="56">
        <v>17</v>
      </c>
      <c r="B22" s="56"/>
      <c r="C22" s="48" t="s">
        <v>51</v>
      </c>
      <c r="D22" s="48"/>
      <c r="E22" s="56">
        <v>2</v>
      </c>
      <c r="F22" s="56" t="s">
        <v>151</v>
      </c>
      <c r="G22" s="57">
        <v>310000</v>
      </c>
      <c r="H22" s="35">
        <f>G22*E22</f>
        <v>620000</v>
      </c>
      <c r="I22" s="36">
        <v>0</v>
      </c>
      <c r="J22" s="37">
        <f>E22-I22</f>
        <v>2</v>
      </c>
      <c r="K22" s="18">
        <f t="shared" si="0"/>
        <v>0</v>
      </c>
      <c r="L22" s="18">
        <f t="shared" si="1"/>
        <v>0</v>
      </c>
      <c r="M22" s="38">
        <v>0</v>
      </c>
      <c r="N22" s="39">
        <f>M22*G22</f>
        <v>0</v>
      </c>
      <c r="P22" s="38">
        <v>2</v>
      </c>
      <c r="Q22" s="41">
        <v>639343</v>
      </c>
      <c r="R22" s="39">
        <f t="shared" si="2"/>
        <v>1278686</v>
      </c>
      <c r="T22" s="38"/>
      <c r="U22" s="42">
        <f t="shared" si="3"/>
        <v>0</v>
      </c>
      <c r="V22" s="38"/>
      <c r="W22" s="42">
        <f t="shared" si="4"/>
        <v>0</v>
      </c>
      <c r="X22" s="38"/>
      <c r="Y22" s="42">
        <f t="shared" si="5"/>
        <v>0</v>
      </c>
      <c r="Z22" s="38"/>
      <c r="AA22" s="42">
        <f t="shared" si="6"/>
        <v>0</v>
      </c>
      <c r="AB22" s="43"/>
      <c r="AC22" s="44">
        <f t="shared" si="7"/>
        <v>0</v>
      </c>
      <c r="AE22" s="47">
        <f t="shared" si="8"/>
        <v>1278686</v>
      </c>
    </row>
    <row r="23" spans="1:31" ht="25.5" customHeight="1" x14ac:dyDescent="0.25">
      <c r="A23" s="58">
        <v>18</v>
      </c>
      <c r="B23" s="58"/>
      <c r="C23" s="59" t="s">
        <v>52</v>
      </c>
      <c r="D23" s="59"/>
      <c r="E23" s="58">
        <v>1</v>
      </c>
      <c r="F23" s="60" t="s">
        <v>150</v>
      </c>
      <c r="G23" s="61">
        <v>66000</v>
      </c>
      <c r="H23" s="35">
        <f>G23*E23</f>
        <v>66000</v>
      </c>
      <c r="I23" s="36">
        <v>0</v>
      </c>
      <c r="J23" s="37">
        <f>E23-I23</f>
        <v>1</v>
      </c>
      <c r="K23" s="18">
        <f t="shared" si="0"/>
        <v>0</v>
      </c>
      <c r="L23" s="18">
        <f t="shared" si="1"/>
        <v>0</v>
      </c>
      <c r="M23" s="38">
        <v>0</v>
      </c>
      <c r="N23" s="39">
        <f>M23*G23</f>
        <v>0</v>
      </c>
      <c r="P23" s="38">
        <v>1</v>
      </c>
      <c r="Q23" s="41">
        <v>136118</v>
      </c>
      <c r="R23" s="39">
        <f t="shared" si="2"/>
        <v>136118</v>
      </c>
      <c r="T23" s="38"/>
      <c r="U23" s="42">
        <f t="shared" si="3"/>
        <v>0</v>
      </c>
      <c r="V23" s="38"/>
      <c r="W23" s="42">
        <f t="shared" si="4"/>
        <v>0</v>
      </c>
      <c r="X23" s="38"/>
      <c r="Y23" s="42">
        <f t="shared" si="5"/>
        <v>0</v>
      </c>
      <c r="Z23" s="38"/>
      <c r="AA23" s="42">
        <f t="shared" si="6"/>
        <v>0</v>
      </c>
      <c r="AB23" s="43"/>
      <c r="AC23" s="44">
        <f t="shared" si="7"/>
        <v>0</v>
      </c>
      <c r="AE23" s="47">
        <f t="shared" si="8"/>
        <v>136118</v>
      </c>
    </row>
    <row r="24" spans="1:31" ht="39" customHeight="1" x14ac:dyDescent="0.25">
      <c r="A24" s="62">
        <v>19</v>
      </c>
      <c r="B24" s="62" t="s">
        <v>53</v>
      </c>
      <c r="C24" s="48" t="s">
        <v>53</v>
      </c>
      <c r="D24" s="48"/>
      <c r="E24" s="62">
        <v>1</v>
      </c>
      <c r="F24" s="56" t="s">
        <v>152</v>
      </c>
      <c r="G24" s="61">
        <v>2600000</v>
      </c>
      <c r="H24" s="35">
        <f>G24*E24</f>
        <v>2600000</v>
      </c>
      <c r="I24" s="36">
        <v>1</v>
      </c>
      <c r="J24" s="37">
        <f>E24-I24</f>
        <v>0</v>
      </c>
      <c r="K24" s="18">
        <f t="shared" si="0"/>
        <v>1</v>
      </c>
      <c r="L24" s="18">
        <f t="shared" si="1"/>
        <v>0</v>
      </c>
      <c r="M24" s="38">
        <v>0</v>
      </c>
      <c r="N24" s="39">
        <f>M24*G24</f>
        <v>0</v>
      </c>
      <c r="P24" s="38">
        <v>1</v>
      </c>
      <c r="Q24" s="41">
        <v>4300000</v>
      </c>
      <c r="R24" s="39">
        <f t="shared" si="2"/>
        <v>4300000</v>
      </c>
      <c r="T24" s="38"/>
      <c r="U24" s="42">
        <f t="shared" si="3"/>
        <v>0</v>
      </c>
      <c r="V24" s="38"/>
      <c r="W24" s="42">
        <f t="shared" si="4"/>
        <v>0</v>
      </c>
      <c r="X24" s="38">
        <v>1</v>
      </c>
      <c r="Y24" s="42">
        <f t="shared" si="5"/>
        <v>4300000</v>
      </c>
      <c r="Z24" s="38">
        <v>0</v>
      </c>
      <c r="AA24" s="42">
        <f t="shared" si="6"/>
        <v>0</v>
      </c>
      <c r="AB24" s="43"/>
      <c r="AC24" s="44">
        <f t="shared" si="7"/>
        <v>0</v>
      </c>
      <c r="AE24" s="47">
        <f t="shared" si="8"/>
        <v>0</v>
      </c>
    </row>
    <row r="25" spans="1:31" ht="66" customHeight="1" x14ac:dyDescent="0.25">
      <c r="A25" s="56">
        <v>20</v>
      </c>
      <c r="B25" s="56" t="s">
        <v>54</v>
      </c>
      <c r="C25" s="48" t="s">
        <v>55</v>
      </c>
      <c r="D25" s="48" t="s">
        <v>56</v>
      </c>
      <c r="E25" s="56">
        <v>1</v>
      </c>
      <c r="F25" s="56" t="s">
        <v>149</v>
      </c>
      <c r="G25" s="61">
        <v>155000</v>
      </c>
      <c r="H25" s="35">
        <f>G25*E25</f>
        <v>155000</v>
      </c>
      <c r="I25" s="36">
        <v>0</v>
      </c>
      <c r="J25" s="37">
        <f>E25-I25</f>
        <v>1</v>
      </c>
      <c r="K25" s="18">
        <f t="shared" si="0"/>
        <v>0</v>
      </c>
      <c r="L25" s="18">
        <f t="shared" si="1"/>
        <v>0</v>
      </c>
      <c r="M25" s="38">
        <v>0</v>
      </c>
      <c r="N25" s="39">
        <f>M25*G25</f>
        <v>0</v>
      </c>
      <c r="P25" s="38">
        <v>1</v>
      </c>
      <c r="Q25" s="41">
        <v>319671</v>
      </c>
      <c r="R25" s="39">
        <f t="shared" si="2"/>
        <v>319671</v>
      </c>
      <c r="T25" s="38"/>
      <c r="U25" s="42">
        <f t="shared" si="3"/>
        <v>0</v>
      </c>
      <c r="V25" s="38"/>
      <c r="W25" s="42">
        <f t="shared" si="4"/>
        <v>0</v>
      </c>
      <c r="X25" s="38">
        <v>0</v>
      </c>
      <c r="Y25" s="42">
        <f t="shared" si="5"/>
        <v>0</v>
      </c>
      <c r="Z25" s="38">
        <v>0</v>
      </c>
      <c r="AA25" s="42">
        <f t="shared" si="6"/>
        <v>0</v>
      </c>
      <c r="AB25" s="43"/>
      <c r="AC25" s="44">
        <f t="shared" si="7"/>
        <v>0</v>
      </c>
      <c r="AE25" s="47">
        <f t="shared" si="8"/>
        <v>319671</v>
      </c>
    </row>
    <row r="26" spans="1:31" ht="66" customHeight="1" x14ac:dyDescent="0.25">
      <c r="A26" s="56">
        <v>21</v>
      </c>
      <c r="B26" s="56" t="s">
        <v>57</v>
      </c>
      <c r="C26" s="48" t="s">
        <v>58</v>
      </c>
      <c r="D26" s="48" t="s">
        <v>59</v>
      </c>
      <c r="E26" s="56">
        <v>2</v>
      </c>
      <c r="F26" s="56" t="s">
        <v>149</v>
      </c>
      <c r="G26" s="61">
        <v>90000</v>
      </c>
      <c r="H26" s="35">
        <f>G26*E26</f>
        <v>180000</v>
      </c>
      <c r="I26" s="36">
        <v>0</v>
      </c>
      <c r="J26" s="37">
        <f>E26-I26</f>
        <v>2</v>
      </c>
      <c r="K26" s="18">
        <f t="shared" si="0"/>
        <v>0</v>
      </c>
      <c r="L26" s="18">
        <f t="shared" si="1"/>
        <v>0</v>
      </c>
      <c r="M26" s="38">
        <v>0</v>
      </c>
      <c r="N26" s="39">
        <f>M26*G26</f>
        <v>0</v>
      </c>
      <c r="P26" s="38">
        <v>2</v>
      </c>
      <c r="Q26" s="41">
        <v>185615</v>
      </c>
      <c r="R26" s="39">
        <f t="shared" si="2"/>
        <v>371230</v>
      </c>
      <c r="T26" s="38"/>
      <c r="U26" s="42">
        <f t="shared" si="3"/>
        <v>0</v>
      </c>
      <c r="V26" s="38"/>
      <c r="W26" s="42">
        <f t="shared" si="4"/>
        <v>0</v>
      </c>
      <c r="X26" s="38">
        <v>0</v>
      </c>
      <c r="Y26" s="42">
        <f t="shared" si="5"/>
        <v>0</v>
      </c>
      <c r="Z26" s="38">
        <v>0</v>
      </c>
      <c r="AA26" s="42">
        <f t="shared" si="6"/>
        <v>0</v>
      </c>
      <c r="AB26" s="43"/>
      <c r="AC26" s="44">
        <f t="shared" si="7"/>
        <v>0</v>
      </c>
      <c r="AE26" s="47">
        <f t="shared" si="8"/>
        <v>371230</v>
      </c>
    </row>
    <row r="27" spans="1:31" ht="52.5" customHeight="1" x14ac:dyDescent="0.25">
      <c r="A27" s="56">
        <v>22</v>
      </c>
      <c r="B27" s="56" t="s">
        <v>60</v>
      </c>
      <c r="C27" s="48" t="s">
        <v>61</v>
      </c>
      <c r="D27" s="48" t="s">
        <v>62</v>
      </c>
      <c r="E27" s="56">
        <v>2</v>
      </c>
      <c r="F27" s="56" t="s">
        <v>149</v>
      </c>
      <c r="G27" s="61">
        <v>130000</v>
      </c>
      <c r="H27" s="35">
        <f>G27*E27</f>
        <v>260000</v>
      </c>
      <c r="I27" s="36">
        <v>0</v>
      </c>
      <c r="J27" s="37">
        <f>E27-I27</f>
        <v>2</v>
      </c>
      <c r="K27" s="18">
        <f t="shared" si="0"/>
        <v>0</v>
      </c>
      <c r="L27" s="18">
        <f t="shared" si="1"/>
        <v>0</v>
      </c>
      <c r="M27" s="38">
        <v>0</v>
      </c>
      <c r="N27" s="39">
        <f>M27*G27</f>
        <v>0</v>
      </c>
      <c r="P27" s="38">
        <v>2</v>
      </c>
      <c r="Q27" s="41">
        <v>268111</v>
      </c>
      <c r="R27" s="39">
        <f t="shared" si="2"/>
        <v>536222</v>
      </c>
      <c r="T27" s="38"/>
      <c r="U27" s="42">
        <f t="shared" si="3"/>
        <v>0</v>
      </c>
      <c r="V27" s="38"/>
      <c r="W27" s="42">
        <f t="shared" si="4"/>
        <v>0</v>
      </c>
      <c r="X27" s="38">
        <v>0</v>
      </c>
      <c r="Y27" s="42">
        <f t="shared" si="5"/>
        <v>0</v>
      </c>
      <c r="Z27" s="38">
        <v>0</v>
      </c>
      <c r="AA27" s="42">
        <f t="shared" si="6"/>
        <v>0</v>
      </c>
      <c r="AB27" s="43"/>
      <c r="AC27" s="44">
        <f t="shared" si="7"/>
        <v>0</v>
      </c>
      <c r="AE27" s="47">
        <f t="shared" si="8"/>
        <v>536222</v>
      </c>
    </row>
    <row r="28" spans="1:31" ht="84" customHeight="1" x14ac:dyDescent="0.25">
      <c r="A28" s="56">
        <v>23</v>
      </c>
      <c r="B28" s="56" t="s">
        <v>63</v>
      </c>
      <c r="C28" s="48" t="s">
        <v>64</v>
      </c>
      <c r="D28" s="48" t="s">
        <v>65</v>
      </c>
      <c r="E28" s="56">
        <v>2</v>
      </c>
      <c r="F28" s="56" t="s">
        <v>149</v>
      </c>
      <c r="G28" s="61">
        <v>130000</v>
      </c>
      <c r="H28" s="35">
        <f>G28*E28</f>
        <v>260000</v>
      </c>
      <c r="I28" s="36">
        <v>0</v>
      </c>
      <c r="J28" s="37">
        <f>E28-I28</f>
        <v>2</v>
      </c>
      <c r="K28" s="18">
        <f t="shared" si="0"/>
        <v>0</v>
      </c>
      <c r="L28" s="18">
        <f t="shared" si="1"/>
        <v>0</v>
      </c>
      <c r="M28" s="38">
        <v>0</v>
      </c>
      <c r="N28" s="39">
        <f>M28*G28</f>
        <v>0</v>
      </c>
      <c r="P28" s="38">
        <v>2</v>
      </c>
      <c r="Q28" s="41">
        <v>268111</v>
      </c>
      <c r="R28" s="39">
        <f t="shared" si="2"/>
        <v>536222</v>
      </c>
      <c r="T28" s="38"/>
      <c r="U28" s="42">
        <f t="shared" si="3"/>
        <v>0</v>
      </c>
      <c r="V28" s="38"/>
      <c r="W28" s="42">
        <f t="shared" si="4"/>
        <v>0</v>
      </c>
      <c r="X28" s="38">
        <v>0</v>
      </c>
      <c r="Y28" s="42">
        <f t="shared" si="5"/>
        <v>0</v>
      </c>
      <c r="Z28" s="38">
        <v>0</v>
      </c>
      <c r="AA28" s="42">
        <f t="shared" si="6"/>
        <v>0</v>
      </c>
      <c r="AB28" s="43"/>
      <c r="AC28" s="44">
        <f t="shared" si="7"/>
        <v>0</v>
      </c>
      <c r="AE28" s="47">
        <f t="shared" si="8"/>
        <v>536222</v>
      </c>
    </row>
    <row r="29" spans="1:31" ht="44.25" customHeight="1" x14ac:dyDescent="0.25">
      <c r="A29" s="56">
        <v>24</v>
      </c>
      <c r="B29" s="56"/>
      <c r="C29" s="46"/>
      <c r="D29" s="48"/>
      <c r="E29" s="56">
        <v>1</v>
      </c>
      <c r="F29" s="56" t="s">
        <v>152</v>
      </c>
      <c r="G29" s="61">
        <v>104020</v>
      </c>
      <c r="H29" s="35">
        <f>G29*E29</f>
        <v>104020</v>
      </c>
      <c r="I29" s="36">
        <v>1</v>
      </c>
      <c r="J29" s="37">
        <f>E29-I29</f>
        <v>0</v>
      </c>
      <c r="K29" s="18">
        <f t="shared" si="0"/>
        <v>1</v>
      </c>
      <c r="L29" s="18">
        <f t="shared" si="1"/>
        <v>0</v>
      </c>
      <c r="M29" s="38">
        <v>0</v>
      </c>
      <c r="N29" s="39">
        <f>M29*G29</f>
        <v>0</v>
      </c>
      <c r="P29" s="38">
        <v>1</v>
      </c>
      <c r="Q29" s="41">
        <v>214530</v>
      </c>
      <c r="R29" s="39">
        <f t="shared" si="2"/>
        <v>214530</v>
      </c>
      <c r="T29" s="38"/>
      <c r="U29" s="42">
        <f t="shared" si="3"/>
        <v>0</v>
      </c>
      <c r="V29" s="38"/>
      <c r="W29" s="42">
        <f t="shared" si="4"/>
        <v>0</v>
      </c>
      <c r="X29" s="38">
        <v>1</v>
      </c>
      <c r="Y29" s="42">
        <f t="shared" si="5"/>
        <v>214530</v>
      </c>
      <c r="Z29" s="38">
        <v>0</v>
      </c>
      <c r="AA29" s="42">
        <f t="shared" si="6"/>
        <v>0</v>
      </c>
      <c r="AB29" s="43"/>
      <c r="AC29" s="44">
        <f t="shared" si="7"/>
        <v>0</v>
      </c>
      <c r="AE29" s="47">
        <f t="shared" si="8"/>
        <v>0</v>
      </c>
    </row>
    <row r="30" spans="1:31" ht="125.25" customHeight="1" x14ac:dyDescent="0.25">
      <c r="A30" s="56">
        <v>25</v>
      </c>
      <c r="B30" s="56"/>
      <c r="C30" s="48" t="s">
        <v>66</v>
      </c>
      <c r="D30" s="48"/>
      <c r="E30" s="56">
        <v>1</v>
      </c>
      <c r="F30" s="56" t="s">
        <v>153</v>
      </c>
      <c r="G30" s="61">
        <v>285000</v>
      </c>
      <c r="H30" s="35">
        <f>G30*E30</f>
        <v>285000</v>
      </c>
      <c r="I30" s="36">
        <v>1</v>
      </c>
      <c r="J30" s="37">
        <f>E30-I30</f>
        <v>0</v>
      </c>
      <c r="K30" s="18">
        <f t="shared" si="0"/>
        <v>1</v>
      </c>
      <c r="L30" s="18">
        <f t="shared" si="1"/>
        <v>0</v>
      </c>
      <c r="M30" s="38">
        <v>0</v>
      </c>
      <c r="N30" s="39">
        <f>M30*G30</f>
        <v>0</v>
      </c>
      <c r="P30" s="38">
        <v>1</v>
      </c>
      <c r="Q30" s="41">
        <v>587783</v>
      </c>
      <c r="R30" s="39">
        <f t="shared" si="2"/>
        <v>587783</v>
      </c>
      <c r="T30" s="38"/>
      <c r="U30" s="42">
        <f t="shared" si="3"/>
        <v>0</v>
      </c>
      <c r="V30" s="38"/>
      <c r="W30" s="42">
        <f t="shared" si="4"/>
        <v>0</v>
      </c>
      <c r="X30" s="38"/>
      <c r="Y30" s="42">
        <f t="shared" si="5"/>
        <v>0</v>
      </c>
      <c r="Z30" s="38">
        <v>1</v>
      </c>
      <c r="AA30" s="42">
        <f t="shared" si="6"/>
        <v>587783</v>
      </c>
      <c r="AB30" s="43"/>
      <c r="AC30" s="44">
        <f t="shared" si="7"/>
        <v>0</v>
      </c>
      <c r="AE30" s="47">
        <f t="shared" si="8"/>
        <v>0</v>
      </c>
    </row>
    <row r="31" spans="1:31" ht="72" customHeight="1" x14ac:dyDescent="0.25">
      <c r="A31" s="56">
        <v>26</v>
      </c>
      <c r="B31" s="56" t="s">
        <v>67</v>
      </c>
      <c r="C31" s="48" t="s">
        <v>68</v>
      </c>
      <c r="D31" s="48"/>
      <c r="E31" s="56">
        <v>2</v>
      </c>
      <c r="F31" s="56" t="s">
        <v>154</v>
      </c>
      <c r="G31" s="61">
        <v>1700000</v>
      </c>
      <c r="H31" s="35">
        <f>G31*E31</f>
        <v>3400000</v>
      </c>
      <c r="I31" s="36">
        <v>2</v>
      </c>
      <c r="J31" s="37">
        <f>E31-I31</f>
        <v>0</v>
      </c>
      <c r="K31" s="18">
        <f t="shared" si="0"/>
        <v>2</v>
      </c>
      <c r="L31" s="18">
        <f t="shared" si="1"/>
        <v>0</v>
      </c>
      <c r="M31" s="38">
        <v>2</v>
      </c>
      <c r="N31" s="39">
        <f>M31*G31</f>
        <v>3400000</v>
      </c>
      <c r="P31" s="63">
        <v>2</v>
      </c>
      <c r="Q31" s="64">
        <v>3506078</v>
      </c>
      <c r="R31" s="65">
        <f t="shared" si="2"/>
        <v>7012156</v>
      </c>
      <c r="T31" s="38"/>
      <c r="U31" s="42">
        <f t="shared" si="3"/>
        <v>0</v>
      </c>
      <c r="V31" s="38"/>
      <c r="W31" s="42">
        <f t="shared" si="4"/>
        <v>0</v>
      </c>
      <c r="X31" s="38"/>
      <c r="Y31" s="42">
        <f t="shared" si="5"/>
        <v>0</v>
      </c>
      <c r="Z31" s="38"/>
      <c r="AA31" s="42">
        <f t="shared" si="6"/>
        <v>0</v>
      </c>
      <c r="AB31" s="43"/>
      <c r="AC31" s="44">
        <f t="shared" si="7"/>
        <v>0</v>
      </c>
      <c r="AE31" s="47">
        <f t="shared" si="8"/>
        <v>0</v>
      </c>
    </row>
    <row r="32" spans="1:31" ht="124.5" customHeight="1" x14ac:dyDescent="0.25">
      <c r="A32" s="56">
        <v>27</v>
      </c>
      <c r="B32" s="56"/>
      <c r="C32" s="48" t="s">
        <v>69</v>
      </c>
      <c r="D32" s="48"/>
      <c r="E32" s="56">
        <v>2</v>
      </c>
      <c r="F32" s="56" t="s">
        <v>155</v>
      </c>
      <c r="G32" s="61">
        <v>230000</v>
      </c>
      <c r="H32" s="35">
        <f>G32*E32</f>
        <v>460000</v>
      </c>
      <c r="I32" s="36">
        <v>2</v>
      </c>
      <c r="J32" s="37">
        <f>E32-I32</f>
        <v>0</v>
      </c>
      <c r="K32" s="18">
        <f t="shared" si="0"/>
        <v>2</v>
      </c>
      <c r="L32" s="18">
        <f t="shared" si="1"/>
        <v>0</v>
      </c>
      <c r="M32" s="38">
        <v>0</v>
      </c>
      <c r="N32" s="39">
        <f>M32*G32</f>
        <v>0</v>
      </c>
      <c r="P32" s="38">
        <v>2</v>
      </c>
      <c r="Q32" s="41">
        <v>474351</v>
      </c>
      <c r="R32" s="39">
        <f t="shared" si="2"/>
        <v>948702</v>
      </c>
      <c r="T32" s="38"/>
      <c r="U32" s="42">
        <f t="shared" si="3"/>
        <v>0</v>
      </c>
      <c r="V32" s="38"/>
      <c r="W32" s="42">
        <f t="shared" si="4"/>
        <v>0</v>
      </c>
      <c r="X32" s="38"/>
      <c r="Y32" s="42">
        <f t="shared" si="5"/>
        <v>0</v>
      </c>
      <c r="Z32" s="38">
        <v>2</v>
      </c>
      <c r="AA32" s="42">
        <f t="shared" si="6"/>
        <v>948702</v>
      </c>
      <c r="AB32" s="43"/>
      <c r="AC32" s="44">
        <f t="shared" si="7"/>
        <v>0</v>
      </c>
      <c r="AE32" s="47">
        <f t="shared" si="8"/>
        <v>0</v>
      </c>
    </row>
    <row r="33" spans="1:31" ht="61.5" customHeight="1" x14ac:dyDescent="0.25">
      <c r="A33" s="56">
        <v>28</v>
      </c>
      <c r="B33" s="56"/>
      <c r="C33" s="48" t="s">
        <v>70</v>
      </c>
      <c r="D33" s="48" t="s">
        <v>145</v>
      </c>
      <c r="E33" s="56">
        <v>2</v>
      </c>
      <c r="F33" s="56" t="s">
        <v>149</v>
      </c>
      <c r="G33" s="61">
        <v>70000</v>
      </c>
      <c r="H33" s="35">
        <f>G33*E33</f>
        <v>140000</v>
      </c>
      <c r="I33" s="36">
        <v>0</v>
      </c>
      <c r="J33" s="37">
        <f>E33-I33</f>
        <v>2</v>
      </c>
      <c r="K33" s="18">
        <f t="shared" si="0"/>
        <v>0</v>
      </c>
      <c r="L33" s="18">
        <f t="shared" si="1"/>
        <v>0</v>
      </c>
      <c r="M33" s="38">
        <v>0</v>
      </c>
      <c r="N33" s="39">
        <f>M33*G33</f>
        <v>0</v>
      </c>
      <c r="P33" s="38">
        <v>2</v>
      </c>
      <c r="Q33" s="41">
        <v>144367</v>
      </c>
      <c r="R33" s="39">
        <f t="shared" si="2"/>
        <v>288734</v>
      </c>
      <c r="T33" s="38"/>
      <c r="U33" s="42">
        <f t="shared" si="3"/>
        <v>0</v>
      </c>
      <c r="V33" s="38"/>
      <c r="W33" s="42">
        <f t="shared" si="4"/>
        <v>0</v>
      </c>
      <c r="X33" s="38">
        <v>0</v>
      </c>
      <c r="Y33" s="42">
        <f t="shared" si="5"/>
        <v>0</v>
      </c>
      <c r="Z33" s="38">
        <v>0</v>
      </c>
      <c r="AA33" s="42">
        <f t="shared" si="6"/>
        <v>0</v>
      </c>
      <c r="AB33" s="43"/>
      <c r="AC33" s="44">
        <f t="shared" si="7"/>
        <v>0</v>
      </c>
      <c r="AE33" s="47">
        <f t="shared" si="8"/>
        <v>288734</v>
      </c>
    </row>
    <row r="34" spans="1:31" ht="68.25" customHeight="1" x14ac:dyDescent="0.25">
      <c r="A34" s="56">
        <v>29</v>
      </c>
      <c r="B34" s="56"/>
      <c r="C34" s="48" t="s">
        <v>71</v>
      </c>
      <c r="D34" s="48"/>
      <c r="E34" s="56">
        <v>150</v>
      </c>
      <c r="F34" s="56" t="s">
        <v>155</v>
      </c>
      <c r="G34" s="61">
        <v>2000</v>
      </c>
      <c r="H34" s="35">
        <f>G34*E34</f>
        <v>300000</v>
      </c>
      <c r="I34" s="36">
        <v>150</v>
      </c>
      <c r="J34" s="37">
        <f>E34-I34</f>
        <v>0</v>
      </c>
      <c r="K34" s="18">
        <f t="shared" si="0"/>
        <v>150</v>
      </c>
      <c r="L34" s="18">
        <f t="shared" si="1"/>
        <v>0</v>
      </c>
      <c r="M34" s="38">
        <v>0</v>
      </c>
      <c r="N34" s="39">
        <f>M34*G34</f>
        <v>0</v>
      </c>
      <c r="P34" s="38">
        <v>150</v>
      </c>
      <c r="Q34" s="41">
        <v>4124</v>
      </c>
      <c r="R34" s="39">
        <f t="shared" si="2"/>
        <v>618600</v>
      </c>
      <c r="T34" s="38"/>
      <c r="U34" s="42">
        <f t="shared" si="3"/>
        <v>0</v>
      </c>
      <c r="V34" s="38"/>
      <c r="W34" s="42">
        <f t="shared" si="4"/>
        <v>0</v>
      </c>
      <c r="X34" s="38"/>
      <c r="Y34" s="42">
        <f t="shared" si="5"/>
        <v>0</v>
      </c>
      <c r="Z34" s="38">
        <v>150</v>
      </c>
      <c r="AA34" s="42">
        <f t="shared" si="6"/>
        <v>618600</v>
      </c>
      <c r="AB34" s="43"/>
      <c r="AC34" s="44">
        <f t="shared" si="7"/>
        <v>0</v>
      </c>
      <c r="AE34" s="47">
        <f t="shared" si="8"/>
        <v>0</v>
      </c>
    </row>
    <row r="35" spans="1:31" ht="51" customHeight="1" x14ac:dyDescent="0.25">
      <c r="A35" s="56">
        <v>30</v>
      </c>
      <c r="B35" s="56" t="s">
        <v>72</v>
      </c>
      <c r="C35" s="48" t="s">
        <v>73</v>
      </c>
      <c r="D35" s="48"/>
      <c r="E35" s="56">
        <v>1</v>
      </c>
      <c r="F35" s="56" t="s">
        <v>155</v>
      </c>
      <c r="G35" s="61">
        <v>130000</v>
      </c>
      <c r="H35" s="35">
        <f>G35*E35</f>
        <v>130000</v>
      </c>
      <c r="I35" s="36">
        <v>1</v>
      </c>
      <c r="J35" s="37">
        <f>E35-I35</f>
        <v>0</v>
      </c>
      <c r="K35" s="18">
        <f t="shared" si="0"/>
        <v>1</v>
      </c>
      <c r="L35" s="18">
        <f t="shared" si="1"/>
        <v>0</v>
      </c>
      <c r="M35" s="38">
        <v>0</v>
      </c>
      <c r="N35" s="39">
        <f>M35*G35</f>
        <v>0</v>
      </c>
      <c r="P35" s="38">
        <v>1</v>
      </c>
      <c r="Q35" s="41">
        <v>268111</v>
      </c>
      <c r="R35" s="39">
        <f t="shared" si="2"/>
        <v>268111</v>
      </c>
      <c r="T35" s="38"/>
      <c r="U35" s="42">
        <f t="shared" si="3"/>
        <v>0</v>
      </c>
      <c r="V35" s="38"/>
      <c r="W35" s="42">
        <f t="shared" si="4"/>
        <v>0</v>
      </c>
      <c r="X35" s="38"/>
      <c r="Y35" s="42">
        <f t="shared" si="5"/>
        <v>0</v>
      </c>
      <c r="Z35" s="38">
        <v>1</v>
      </c>
      <c r="AA35" s="42">
        <f t="shared" si="6"/>
        <v>268111</v>
      </c>
      <c r="AB35" s="43"/>
      <c r="AC35" s="44">
        <f t="shared" si="7"/>
        <v>0</v>
      </c>
      <c r="AE35" s="47">
        <f t="shared" si="8"/>
        <v>0</v>
      </c>
    </row>
    <row r="36" spans="1:31" ht="67.5" customHeight="1" x14ac:dyDescent="0.25">
      <c r="A36" s="56">
        <v>31</v>
      </c>
      <c r="B36" s="56" t="s">
        <v>74</v>
      </c>
      <c r="C36" s="48" t="s">
        <v>75</v>
      </c>
      <c r="D36" s="48"/>
      <c r="E36" s="56">
        <v>2</v>
      </c>
      <c r="F36" s="56" t="s">
        <v>155</v>
      </c>
      <c r="G36" s="61">
        <v>135000</v>
      </c>
      <c r="H36" s="35">
        <f>G36*E36</f>
        <v>270000</v>
      </c>
      <c r="I36" s="36">
        <v>2</v>
      </c>
      <c r="J36" s="37">
        <f>E36-I36</f>
        <v>0</v>
      </c>
      <c r="K36" s="18">
        <f t="shared" si="0"/>
        <v>2</v>
      </c>
      <c r="L36" s="18">
        <f t="shared" si="1"/>
        <v>0</v>
      </c>
      <c r="M36" s="38">
        <v>0</v>
      </c>
      <c r="N36" s="39">
        <f>M36*G36</f>
        <v>0</v>
      </c>
      <c r="P36" s="38">
        <v>2</v>
      </c>
      <c r="Q36" s="41">
        <v>278423</v>
      </c>
      <c r="R36" s="39">
        <f t="shared" si="2"/>
        <v>556846</v>
      </c>
      <c r="T36" s="38"/>
      <c r="U36" s="42">
        <f t="shared" si="3"/>
        <v>0</v>
      </c>
      <c r="V36" s="38"/>
      <c r="W36" s="42">
        <f t="shared" si="4"/>
        <v>0</v>
      </c>
      <c r="X36" s="38"/>
      <c r="Y36" s="42">
        <f t="shared" si="5"/>
        <v>0</v>
      </c>
      <c r="Z36" s="38">
        <v>2</v>
      </c>
      <c r="AA36" s="42">
        <f t="shared" si="6"/>
        <v>556846</v>
      </c>
      <c r="AB36" s="43"/>
      <c r="AC36" s="44">
        <f t="shared" si="7"/>
        <v>0</v>
      </c>
      <c r="AE36" s="47">
        <f t="shared" si="8"/>
        <v>0</v>
      </c>
    </row>
    <row r="37" spans="1:31" ht="64.5" customHeight="1" x14ac:dyDescent="0.25">
      <c r="A37" s="56">
        <v>32</v>
      </c>
      <c r="B37" s="56"/>
      <c r="C37" s="48" t="s">
        <v>76</v>
      </c>
      <c r="D37" s="48"/>
      <c r="E37" s="56">
        <v>1</v>
      </c>
      <c r="F37" s="56" t="s">
        <v>155</v>
      </c>
      <c r="G37" s="61">
        <v>415000</v>
      </c>
      <c r="H37" s="35">
        <f>G37*E37</f>
        <v>415000</v>
      </c>
      <c r="I37" s="36">
        <v>1</v>
      </c>
      <c r="J37" s="37">
        <f>E37-I37</f>
        <v>0</v>
      </c>
      <c r="K37" s="18">
        <f t="shared" si="0"/>
        <v>1</v>
      </c>
      <c r="L37" s="18">
        <f t="shared" si="1"/>
        <v>0</v>
      </c>
      <c r="M37" s="38">
        <v>0</v>
      </c>
      <c r="N37" s="39">
        <f>M37*G37</f>
        <v>0</v>
      </c>
      <c r="P37" s="38">
        <v>1</v>
      </c>
      <c r="Q37" s="41">
        <v>855895</v>
      </c>
      <c r="R37" s="39">
        <f t="shared" si="2"/>
        <v>855895</v>
      </c>
      <c r="T37" s="38"/>
      <c r="U37" s="42">
        <f t="shared" si="3"/>
        <v>0</v>
      </c>
      <c r="V37" s="38"/>
      <c r="W37" s="42">
        <f t="shared" si="4"/>
        <v>0</v>
      </c>
      <c r="X37" s="38"/>
      <c r="Y37" s="42">
        <f t="shared" si="5"/>
        <v>0</v>
      </c>
      <c r="Z37" s="38">
        <v>1</v>
      </c>
      <c r="AA37" s="42">
        <f t="shared" si="6"/>
        <v>855895</v>
      </c>
      <c r="AB37" s="43"/>
      <c r="AC37" s="44">
        <f t="shared" si="7"/>
        <v>0</v>
      </c>
      <c r="AE37" s="47">
        <f t="shared" si="8"/>
        <v>0</v>
      </c>
    </row>
    <row r="38" spans="1:31" ht="105.75" customHeight="1" x14ac:dyDescent="0.25">
      <c r="A38" s="56">
        <v>33</v>
      </c>
      <c r="B38" s="56"/>
      <c r="C38" s="46" t="s">
        <v>77</v>
      </c>
      <c r="D38" s="48"/>
      <c r="E38" s="56">
        <v>2</v>
      </c>
      <c r="F38" s="56" t="s">
        <v>155</v>
      </c>
      <c r="G38" s="61">
        <v>88000</v>
      </c>
      <c r="H38" s="35">
        <f>G38*E38</f>
        <v>176000</v>
      </c>
      <c r="I38" s="36">
        <v>2</v>
      </c>
      <c r="J38" s="37">
        <f>E38-I38</f>
        <v>0</v>
      </c>
      <c r="K38" s="18">
        <f t="shared" si="0"/>
        <v>2</v>
      </c>
      <c r="L38" s="18">
        <f t="shared" si="1"/>
        <v>0</v>
      </c>
      <c r="M38" s="38">
        <v>0</v>
      </c>
      <c r="N38" s="39">
        <f>M38*G38</f>
        <v>0</v>
      </c>
      <c r="P38" s="38">
        <v>2</v>
      </c>
      <c r="Q38" s="41">
        <v>181491</v>
      </c>
      <c r="R38" s="39">
        <f t="shared" si="2"/>
        <v>362982</v>
      </c>
      <c r="T38" s="38"/>
      <c r="U38" s="42">
        <f t="shared" si="3"/>
        <v>0</v>
      </c>
      <c r="V38" s="38"/>
      <c r="W38" s="42">
        <f t="shared" si="4"/>
        <v>0</v>
      </c>
      <c r="X38" s="38"/>
      <c r="Y38" s="42">
        <f t="shared" si="5"/>
        <v>0</v>
      </c>
      <c r="Z38" s="38">
        <v>2</v>
      </c>
      <c r="AA38" s="42">
        <f t="shared" si="6"/>
        <v>362982</v>
      </c>
      <c r="AB38" s="43"/>
      <c r="AC38" s="44">
        <f t="shared" si="7"/>
        <v>0</v>
      </c>
      <c r="AE38" s="47">
        <f t="shared" si="8"/>
        <v>0</v>
      </c>
    </row>
    <row r="39" spans="1:31" ht="59.25" customHeight="1" x14ac:dyDescent="0.25">
      <c r="A39" s="56">
        <v>34</v>
      </c>
      <c r="B39" s="56"/>
      <c r="C39" s="48" t="s">
        <v>78</v>
      </c>
      <c r="D39" s="48"/>
      <c r="E39" s="56">
        <v>2</v>
      </c>
      <c r="F39" s="56" t="s">
        <v>155</v>
      </c>
      <c r="G39" s="61">
        <v>585000</v>
      </c>
      <c r="H39" s="35">
        <f>G39*E39</f>
        <v>1170000</v>
      </c>
      <c r="I39" s="36">
        <v>2</v>
      </c>
      <c r="J39" s="37">
        <f>E39-I39</f>
        <v>0</v>
      </c>
      <c r="K39" s="18">
        <f t="shared" si="0"/>
        <v>2</v>
      </c>
      <c r="L39" s="18">
        <f t="shared" si="1"/>
        <v>0</v>
      </c>
      <c r="M39" s="38">
        <v>0</v>
      </c>
      <c r="N39" s="39">
        <f>M39*G39</f>
        <v>0</v>
      </c>
      <c r="P39" s="38">
        <v>2</v>
      </c>
      <c r="Q39" s="41">
        <v>1206503</v>
      </c>
      <c r="R39" s="39">
        <f t="shared" si="2"/>
        <v>2413006</v>
      </c>
      <c r="T39" s="38"/>
      <c r="U39" s="42">
        <f t="shared" si="3"/>
        <v>0</v>
      </c>
      <c r="V39" s="38"/>
      <c r="W39" s="42">
        <f t="shared" si="4"/>
        <v>0</v>
      </c>
      <c r="X39" s="38"/>
      <c r="Y39" s="42">
        <f t="shared" si="5"/>
        <v>0</v>
      </c>
      <c r="Z39" s="38">
        <v>2</v>
      </c>
      <c r="AA39" s="42">
        <f t="shared" si="6"/>
        <v>2413006</v>
      </c>
      <c r="AB39" s="43"/>
      <c r="AC39" s="44">
        <f t="shared" si="7"/>
        <v>0</v>
      </c>
      <c r="AE39" s="47">
        <f t="shared" si="8"/>
        <v>0</v>
      </c>
    </row>
    <row r="40" spans="1:31" ht="59.25" customHeight="1" x14ac:dyDescent="0.25">
      <c r="A40" s="56">
        <v>35</v>
      </c>
      <c r="B40" s="56"/>
      <c r="C40" s="48" t="s">
        <v>79</v>
      </c>
      <c r="D40" s="48"/>
      <c r="E40" s="56">
        <v>1</v>
      </c>
      <c r="F40" s="56" t="s">
        <v>149</v>
      </c>
      <c r="G40" s="61">
        <v>3000000</v>
      </c>
      <c r="H40" s="35">
        <f>G40*E40</f>
        <v>3000000</v>
      </c>
      <c r="I40" s="36">
        <v>0</v>
      </c>
      <c r="J40" s="37">
        <f>E40-I40</f>
        <v>1</v>
      </c>
      <c r="K40" s="18">
        <f t="shared" si="0"/>
        <v>0</v>
      </c>
      <c r="L40" s="18">
        <f t="shared" si="1"/>
        <v>0</v>
      </c>
      <c r="M40" s="38">
        <v>0</v>
      </c>
      <c r="N40" s="39">
        <f>M40*G40</f>
        <v>0</v>
      </c>
      <c r="P40" s="38">
        <v>1</v>
      </c>
      <c r="Q40" s="41">
        <v>3739643</v>
      </c>
      <c r="R40" s="39">
        <f t="shared" si="2"/>
        <v>3739643</v>
      </c>
      <c r="T40" s="38"/>
      <c r="U40" s="42">
        <f t="shared" si="3"/>
        <v>0</v>
      </c>
      <c r="V40" s="38"/>
      <c r="W40" s="42">
        <f t="shared" si="4"/>
        <v>0</v>
      </c>
      <c r="X40" s="38"/>
      <c r="Y40" s="42">
        <f t="shared" si="5"/>
        <v>0</v>
      </c>
      <c r="Z40" s="38"/>
      <c r="AA40" s="42">
        <f t="shared" si="6"/>
        <v>0</v>
      </c>
      <c r="AB40" s="43"/>
      <c r="AC40" s="44">
        <f t="shared" si="7"/>
        <v>0</v>
      </c>
      <c r="AE40" s="47">
        <f t="shared" si="8"/>
        <v>3739643</v>
      </c>
    </row>
    <row r="41" spans="1:31" ht="29.25" customHeight="1" x14ac:dyDescent="0.25">
      <c r="A41" s="56"/>
      <c r="B41" s="56" t="s">
        <v>80</v>
      </c>
      <c r="C41" s="46" t="s">
        <v>81</v>
      </c>
      <c r="D41" s="48">
        <v>760107318</v>
      </c>
      <c r="E41" s="56">
        <v>955</v>
      </c>
      <c r="F41" s="56" t="s">
        <v>156</v>
      </c>
      <c r="G41" s="61">
        <v>6500</v>
      </c>
      <c r="H41" s="35">
        <f>G41*E41</f>
        <v>6207500</v>
      </c>
      <c r="I41" s="36">
        <v>955</v>
      </c>
      <c r="J41" s="37">
        <f>E41-I41</f>
        <v>0</v>
      </c>
      <c r="K41" s="18">
        <f t="shared" si="0"/>
        <v>955</v>
      </c>
      <c r="L41" s="18">
        <f t="shared" si="1"/>
        <v>0</v>
      </c>
      <c r="M41" s="38">
        <v>955</v>
      </c>
      <c r="N41" s="39">
        <f>M41*G41</f>
        <v>6207500</v>
      </c>
      <c r="P41" s="38">
        <v>0</v>
      </c>
      <c r="Q41" s="41">
        <v>1546</v>
      </c>
      <c r="R41" s="39">
        <f t="shared" si="2"/>
        <v>0</v>
      </c>
      <c r="T41" s="38"/>
      <c r="U41" s="42">
        <f t="shared" si="3"/>
        <v>0</v>
      </c>
      <c r="V41" s="38"/>
      <c r="W41" s="42">
        <f t="shared" si="4"/>
        <v>0</v>
      </c>
      <c r="X41" s="38"/>
      <c r="Y41" s="42">
        <f t="shared" si="5"/>
        <v>0</v>
      </c>
      <c r="Z41" s="38"/>
      <c r="AA41" s="42">
        <f t="shared" si="6"/>
        <v>0</v>
      </c>
      <c r="AB41" s="43"/>
      <c r="AC41" s="44">
        <f t="shared" si="7"/>
        <v>0</v>
      </c>
      <c r="AE41" s="47">
        <f t="shared" si="8"/>
        <v>0</v>
      </c>
    </row>
    <row r="42" spans="1:31" ht="29.25" customHeight="1" x14ac:dyDescent="0.25">
      <c r="A42" s="56">
        <v>36</v>
      </c>
      <c r="B42" s="56" t="s">
        <v>82</v>
      </c>
      <c r="C42" s="46" t="s">
        <v>83</v>
      </c>
      <c r="D42" s="48">
        <v>760184507</v>
      </c>
      <c r="E42" s="56">
        <v>351</v>
      </c>
      <c r="F42" s="56" t="s">
        <v>156</v>
      </c>
      <c r="G42" s="61">
        <v>750</v>
      </c>
      <c r="H42" s="35">
        <f>G42*E42</f>
        <v>263250</v>
      </c>
      <c r="I42" s="36">
        <v>351</v>
      </c>
      <c r="J42" s="37">
        <f>E42-I42</f>
        <v>0</v>
      </c>
      <c r="K42" s="18">
        <f t="shared" si="0"/>
        <v>351</v>
      </c>
      <c r="L42" s="18">
        <f t="shared" si="1"/>
        <v>0</v>
      </c>
      <c r="M42" s="38">
        <v>180</v>
      </c>
      <c r="N42" s="39">
        <f>M42*G42</f>
        <v>135000</v>
      </c>
      <c r="P42" s="38">
        <v>171</v>
      </c>
      <c r="Q42" s="41">
        <v>1546</v>
      </c>
      <c r="R42" s="39">
        <f t="shared" si="2"/>
        <v>264366</v>
      </c>
      <c r="T42" s="38">
        <v>171</v>
      </c>
      <c r="U42" s="42">
        <f t="shared" si="3"/>
        <v>264366</v>
      </c>
      <c r="V42" s="38"/>
      <c r="W42" s="42">
        <f t="shared" si="4"/>
        <v>0</v>
      </c>
      <c r="X42" s="38"/>
      <c r="Y42" s="42">
        <f t="shared" si="5"/>
        <v>0</v>
      </c>
      <c r="Z42" s="38"/>
      <c r="AA42" s="42">
        <f t="shared" si="6"/>
        <v>0</v>
      </c>
      <c r="AB42" s="43"/>
      <c r="AC42" s="44">
        <f t="shared" si="7"/>
        <v>0</v>
      </c>
      <c r="AE42" s="47">
        <f t="shared" si="8"/>
        <v>0</v>
      </c>
    </row>
    <row r="43" spans="1:31" ht="29.25" customHeight="1" x14ac:dyDescent="0.25">
      <c r="A43" s="56">
        <v>37</v>
      </c>
      <c r="B43" s="56" t="s">
        <v>84</v>
      </c>
      <c r="C43" s="46" t="s">
        <v>85</v>
      </c>
      <c r="D43" s="48">
        <v>760092361</v>
      </c>
      <c r="E43" s="56">
        <v>8424</v>
      </c>
      <c r="F43" s="56" t="s">
        <v>156</v>
      </c>
      <c r="G43" s="61">
        <v>150</v>
      </c>
      <c r="H43" s="35">
        <f>G43*E43</f>
        <v>1263600</v>
      </c>
      <c r="I43" s="36">
        <v>8424</v>
      </c>
      <c r="J43" s="37">
        <f>E43-I43</f>
        <v>0</v>
      </c>
      <c r="K43" s="18">
        <f t="shared" si="0"/>
        <v>8424</v>
      </c>
      <c r="L43" s="18">
        <f t="shared" si="1"/>
        <v>0</v>
      </c>
      <c r="M43" s="38">
        <v>4000</v>
      </c>
      <c r="N43" s="39">
        <f>M43*G43</f>
        <v>600000</v>
      </c>
      <c r="P43" s="38">
        <v>4424</v>
      </c>
      <c r="Q43" s="41">
        <v>309</v>
      </c>
      <c r="R43" s="39">
        <f t="shared" si="2"/>
        <v>1367016</v>
      </c>
      <c r="T43" s="38">
        <v>4424</v>
      </c>
      <c r="U43" s="42">
        <f t="shared" si="3"/>
        <v>1367016</v>
      </c>
      <c r="V43" s="38"/>
      <c r="W43" s="42">
        <f t="shared" si="4"/>
        <v>0</v>
      </c>
      <c r="X43" s="38"/>
      <c r="Y43" s="42">
        <f t="shared" si="5"/>
        <v>0</v>
      </c>
      <c r="Z43" s="38"/>
      <c r="AA43" s="42">
        <f t="shared" si="6"/>
        <v>0</v>
      </c>
      <c r="AB43" s="43"/>
      <c r="AC43" s="44">
        <f t="shared" si="7"/>
        <v>0</v>
      </c>
      <c r="AE43" s="47">
        <f t="shared" si="8"/>
        <v>0</v>
      </c>
    </row>
    <row r="44" spans="1:31" ht="29.25" customHeight="1" x14ac:dyDescent="0.25">
      <c r="A44" s="56">
        <v>38</v>
      </c>
      <c r="B44" s="56" t="s">
        <v>86</v>
      </c>
      <c r="C44" s="46" t="s">
        <v>87</v>
      </c>
      <c r="D44" s="48">
        <v>760038240</v>
      </c>
      <c r="E44" s="56">
        <v>351</v>
      </c>
      <c r="F44" s="56" t="s">
        <v>156</v>
      </c>
      <c r="G44" s="61">
        <v>350</v>
      </c>
      <c r="H44" s="35">
        <f>G44*E44</f>
        <v>122850</v>
      </c>
      <c r="I44" s="36">
        <v>351</v>
      </c>
      <c r="J44" s="37">
        <f>E44-I44</f>
        <v>0</v>
      </c>
      <c r="K44" s="18">
        <f t="shared" si="0"/>
        <v>351</v>
      </c>
      <c r="L44" s="18">
        <f t="shared" si="1"/>
        <v>0</v>
      </c>
      <c r="M44" s="38">
        <v>200</v>
      </c>
      <c r="N44" s="39">
        <f>M44*G44</f>
        <v>70000</v>
      </c>
      <c r="P44" s="38">
        <v>151</v>
      </c>
      <c r="Q44" s="41">
        <v>721</v>
      </c>
      <c r="R44" s="39">
        <f t="shared" si="2"/>
        <v>108871</v>
      </c>
      <c r="T44" s="38"/>
      <c r="U44" s="42">
        <f t="shared" si="3"/>
        <v>0</v>
      </c>
      <c r="V44" s="38">
        <v>151</v>
      </c>
      <c r="W44" s="42">
        <f t="shared" si="4"/>
        <v>108871</v>
      </c>
      <c r="X44" s="38"/>
      <c r="Y44" s="42">
        <f t="shared" si="5"/>
        <v>0</v>
      </c>
      <c r="Z44" s="38"/>
      <c r="AA44" s="42">
        <f t="shared" si="6"/>
        <v>0</v>
      </c>
      <c r="AB44" s="43"/>
      <c r="AC44" s="44">
        <f t="shared" si="7"/>
        <v>0</v>
      </c>
      <c r="AE44" s="47">
        <f t="shared" si="8"/>
        <v>0</v>
      </c>
    </row>
    <row r="45" spans="1:31" ht="29.25" customHeight="1" x14ac:dyDescent="0.25">
      <c r="A45" s="56">
        <v>39</v>
      </c>
      <c r="B45" s="56" t="s">
        <v>88</v>
      </c>
      <c r="C45" s="46" t="s">
        <v>89</v>
      </c>
      <c r="D45" s="48" t="s">
        <v>90</v>
      </c>
      <c r="E45" s="56">
        <v>7543</v>
      </c>
      <c r="F45" s="56" t="s">
        <v>156</v>
      </c>
      <c r="G45" s="61">
        <v>125</v>
      </c>
      <c r="H45" s="35">
        <f>G45*E45</f>
        <v>942875</v>
      </c>
      <c r="I45" s="36">
        <v>7543</v>
      </c>
      <c r="J45" s="37">
        <f>E45-I45</f>
        <v>0</v>
      </c>
      <c r="K45" s="18">
        <f t="shared" si="0"/>
        <v>7543</v>
      </c>
      <c r="L45" s="18">
        <f t="shared" si="1"/>
        <v>0</v>
      </c>
      <c r="M45" s="38">
        <v>1000</v>
      </c>
      <c r="N45" s="39">
        <f>M45*G45</f>
        <v>125000</v>
      </c>
      <c r="P45" s="38">
        <v>6543</v>
      </c>
      <c r="Q45" s="41">
        <v>257</v>
      </c>
      <c r="R45" s="39">
        <f t="shared" si="2"/>
        <v>1681551</v>
      </c>
      <c r="T45" s="38">
        <v>6543</v>
      </c>
      <c r="U45" s="42">
        <f t="shared" si="3"/>
        <v>1681551</v>
      </c>
      <c r="V45" s="38"/>
      <c r="W45" s="42">
        <f t="shared" si="4"/>
        <v>0</v>
      </c>
      <c r="X45" s="38"/>
      <c r="Y45" s="42">
        <f t="shared" si="5"/>
        <v>0</v>
      </c>
      <c r="Z45" s="38"/>
      <c r="AA45" s="42">
        <f t="shared" si="6"/>
        <v>0</v>
      </c>
      <c r="AB45" s="43"/>
      <c r="AC45" s="44">
        <f t="shared" si="7"/>
        <v>0</v>
      </c>
      <c r="AE45" s="47">
        <f t="shared" si="8"/>
        <v>0</v>
      </c>
    </row>
    <row r="46" spans="1:31" ht="29.25" customHeight="1" x14ac:dyDescent="0.25">
      <c r="A46" s="56">
        <v>40</v>
      </c>
      <c r="B46" s="56" t="s">
        <v>91</v>
      </c>
      <c r="C46" s="46" t="s">
        <v>92</v>
      </c>
      <c r="D46" s="48">
        <v>108168469</v>
      </c>
      <c r="E46" s="56">
        <v>1789</v>
      </c>
      <c r="F46" s="56" t="s">
        <v>156</v>
      </c>
      <c r="G46" s="61">
        <v>50</v>
      </c>
      <c r="H46" s="35">
        <f>G46*E46</f>
        <v>89450</v>
      </c>
      <c r="I46" s="36">
        <v>995</v>
      </c>
      <c r="J46" s="37">
        <f>E46-I46</f>
        <v>794</v>
      </c>
      <c r="K46" s="18">
        <f t="shared" si="0"/>
        <v>995</v>
      </c>
      <c r="L46" s="18">
        <f t="shared" si="1"/>
        <v>0</v>
      </c>
      <c r="M46" s="38">
        <v>50</v>
      </c>
      <c r="N46" s="39">
        <f>M46*G46</f>
        <v>2500</v>
      </c>
      <c r="P46" s="38">
        <v>1739</v>
      </c>
      <c r="Q46" s="41">
        <v>103</v>
      </c>
      <c r="R46" s="39">
        <f t="shared" si="2"/>
        <v>179117</v>
      </c>
      <c r="T46" s="38"/>
      <c r="U46" s="42">
        <f t="shared" si="3"/>
        <v>0</v>
      </c>
      <c r="V46" s="38">
        <v>945</v>
      </c>
      <c r="W46" s="42">
        <f t="shared" si="4"/>
        <v>97335</v>
      </c>
      <c r="X46" s="38"/>
      <c r="Y46" s="42">
        <f t="shared" si="5"/>
        <v>0</v>
      </c>
      <c r="Z46" s="38"/>
      <c r="AA46" s="42">
        <f t="shared" si="6"/>
        <v>0</v>
      </c>
      <c r="AB46" s="43"/>
      <c r="AC46" s="44"/>
      <c r="AE46" s="47">
        <f t="shared" si="8"/>
        <v>81782</v>
      </c>
    </row>
    <row r="47" spans="1:31" ht="29.25" customHeight="1" x14ac:dyDescent="0.25">
      <c r="A47" s="56"/>
      <c r="B47" s="56" t="s">
        <v>93</v>
      </c>
      <c r="C47" s="46" t="s">
        <v>94</v>
      </c>
      <c r="D47" s="48">
        <v>760092429</v>
      </c>
      <c r="E47" s="56">
        <v>3578</v>
      </c>
      <c r="F47" s="56" t="s">
        <v>156</v>
      </c>
      <c r="G47" s="61">
        <v>170</v>
      </c>
      <c r="H47" s="35">
        <f>G47*E47</f>
        <v>608260</v>
      </c>
      <c r="I47" s="36">
        <v>3578</v>
      </c>
      <c r="J47" s="37">
        <f>E47-I47</f>
        <v>0</v>
      </c>
      <c r="K47" s="18">
        <f t="shared" si="0"/>
        <v>3578</v>
      </c>
      <c r="L47" s="18">
        <f t="shared" si="1"/>
        <v>0</v>
      </c>
      <c r="M47" s="38">
        <v>3578</v>
      </c>
      <c r="N47" s="39">
        <f>M47*G47</f>
        <v>608260</v>
      </c>
      <c r="P47" s="38">
        <v>0</v>
      </c>
      <c r="Q47" s="41">
        <v>0</v>
      </c>
      <c r="R47" s="39">
        <f t="shared" si="2"/>
        <v>0</v>
      </c>
      <c r="T47" s="38"/>
      <c r="U47" s="42">
        <f t="shared" si="3"/>
        <v>0</v>
      </c>
      <c r="V47" s="38"/>
      <c r="W47" s="42">
        <f t="shared" si="4"/>
        <v>0</v>
      </c>
      <c r="X47" s="38"/>
      <c r="Y47" s="42">
        <f t="shared" si="5"/>
        <v>0</v>
      </c>
      <c r="Z47" s="38"/>
      <c r="AA47" s="42">
        <f t="shared" si="6"/>
        <v>0</v>
      </c>
      <c r="AB47" s="43"/>
      <c r="AC47" s="44"/>
      <c r="AE47" s="47">
        <f t="shared" si="8"/>
        <v>0</v>
      </c>
    </row>
    <row r="48" spans="1:31" ht="29.25" customHeight="1" x14ac:dyDescent="0.25">
      <c r="A48" s="56">
        <v>41</v>
      </c>
      <c r="B48" s="56" t="s">
        <v>95</v>
      </c>
      <c r="C48" s="46" t="s">
        <v>96</v>
      </c>
      <c r="D48" s="48" t="s">
        <v>146</v>
      </c>
      <c r="E48" s="56">
        <v>3578</v>
      </c>
      <c r="F48" s="56" t="s">
        <v>156</v>
      </c>
      <c r="G48" s="61">
        <v>170</v>
      </c>
      <c r="H48" s="35">
        <f>G48*E48</f>
        <v>608260</v>
      </c>
      <c r="I48" s="36">
        <v>3578</v>
      </c>
      <c r="J48" s="37">
        <f>E48-I48</f>
        <v>0</v>
      </c>
      <c r="K48" s="18">
        <f t="shared" si="0"/>
        <v>3578</v>
      </c>
      <c r="L48" s="18">
        <f t="shared" si="1"/>
        <v>0</v>
      </c>
      <c r="M48" s="38">
        <v>1000</v>
      </c>
      <c r="N48" s="39">
        <f>M48*G48</f>
        <v>170000</v>
      </c>
      <c r="P48" s="38">
        <v>2578</v>
      </c>
      <c r="Q48" s="41">
        <v>350</v>
      </c>
      <c r="R48" s="39">
        <f t="shared" si="2"/>
        <v>902300</v>
      </c>
      <c r="T48" s="38"/>
      <c r="U48" s="42">
        <f t="shared" si="3"/>
        <v>0</v>
      </c>
      <c r="V48" s="38">
        <v>2578</v>
      </c>
      <c r="W48" s="42">
        <f t="shared" si="4"/>
        <v>902300</v>
      </c>
      <c r="X48" s="38"/>
      <c r="Y48" s="42">
        <f t="shared" si="5"/>
        <v>0</v>
      </c>
      <c r="Z48" s="38"/>
      <c r="AA48" s="42">
        <f t="shared" si="6"/>
        <v>0</v>
      </c>
      <c r="AB48" s="43"/>
      <c r="AC48" s="44"/>
      <c r="AE48" s="47">
        <f t="shared" si="8"/>
        <v>0</v>
      </c>
    </row>
    <row r="49" spans="1:31" ht="29.25" customHeight="1" x14ac:dyDescent="0.25">
      <c r="A49" s="56">
        <v>42</v>
      </c>
      <c r="B49" s="56" t="s">
        <v>97</v>
      </c>
      <c r="C49" s="46" t="s">
        <v>98</v>
      </c>
      <c r="D49" s="48">
        <v>760246283</v>
      </c>
      <c r="E49" s="56">
        <v>229</v>
      </c>
      <c r="F49" s="56" t="s">
        <v>156</v>
      </c>
      <c r="G49" s="61">
        <v>45</v>
      </c>
      <c r="H49" s="35">
        <f>G49*E49</f>
        <v>10305</v>
      </c>
      <c r="I49" s="36">
        <v>229</v>
      </c>
      <c r="J49" s="37">
        <f>E49-I49</f>
        <v>0</v>
      </c>
      <c r="K49" s="18">
        <f t="shared" si="0"/>
        <v>229</v>
      </c>
      <c r="L49" s="18">
        <f t="shared" si="1"/>
        <v>0</v>
      </c>
      <c r="M49" s="38">
        <v>50</v>
      </c>
      <c r="N49" s="39">
        <f>M49*G49</f>
        <v>2250</v>
      </c>
      <c r="P49" s="38">
        <v>179</v>
      </c>
      <c r="Q49" s="41">
        <v>92</v>
      </c>
      <c r="R49" s="39">
        <f t="shared" si="2"/>
        <v>16468</v>
      </c>
      <c r="T49" s="38"/>
      <c r="U49" s="42">
        <f t="shared" si="3"/>
        <v>0</v>
      </c>
      <c r="V49" s="38">
        <v>179</v>
      </c>
      <c r="W49" s="42">
        <f t="shared" si="4"/>
        <v>16468</v>
      </c>
      <c r="X49" s="38"/>
      <c r="Y49" s="42">
        <f t="shared" si="5"/>
        <v>0</v>
      </c>
      <c r="Z49" s="38"/>
      <c r="AA49" s="42">
        <f t="shared" si="6"/>
        <v>0</v>
      </c>
      <c r="AB49" s="43"/>
      <c r="AC49" s="44">
        <f t="shared" si="7"/>
        <v>0</v>
      </c>
      <c r="AE49" s="47">
        <f t="shared" si="8"/>
        <v>0</v>
      </c>
    </row>
    <row r="50" spans="1:31" ht="29.25" customHeight="1" x14ac:dyDescent="0.25">
      <c r="A50" s="56">
        <v>44</v>
      </c>
      <c r="B50" s="56" t="s">
        <v>99</v>
      </c>
      <c r="C50" s="46" t="s">
        <v>94</v>
      </c>
      <c r="D50" s="48">
        <v>760092429</v>
      </c>
      <c r="E50" s="56">
        <v>458</v>
      </c>
      <c r="F50" s="56" t="s">
        <v>156</v>
      </c>
      <c r="G50" s="61">
        <v>160</v>
      </c>
      <c r="H50" s="35">
        <f>G50*E50</f>
        <v>73280</v>
      </c>
      <c r="I50" s="36">
        <v>458</v>
      </c>
      <c r="J50" s="37">
        <f>E50-I50</f>
        <v>0</v>
      </c>
      <c r="K50" s="18">
        <f t="shared" si="0"/>
        <v>458</v>
      </c>
      <c r="L50" s="18">
        <f t="shared" si="1"/>
        <v>0</v>
      </c>
      <c r="M50" s="38">
        <v>0</v>
      </c>
      <c r="N50" s="39">
        <f>M50*G50</f>
        <v>0</v>
      </c>
      <c r="P50" s="38">
        <v>458</v>
      </c>
      <c r="Q50" s="41">
        <v>329</v>
      </c>
      <c r="R50" s="39">
        <f t="shared" si="2"/>
        <v>150682</v>
      </c>
      <c r="T50" s="38">
        <v>458</v>
      </c>
      <c r="U50" s="42">
        <f t="shared" si="3"/>
        <v>150682</v>
      </c>
      <c r="V50" s="38"/>
      <c r="W50" s="42">
        <f t="shared" si="4"/>
        <v>0</v>
      </c>
      <c r="X50" s="38"/>
      <c r="Y50" s="42">
        <f t="shared" si="5"/>
        <v>0</v>
      </c>
      <c r="Z50" s="38"/>
      <c r="AA50" s="42">
        <f t="shared" si="6"/>
        <v>0</v>
      </c>
      <c r="AB50" s="43"/>
      <c r="AC50" s="44">
        <f t="shared" si="7"/>
        <v>0</v>
      </c>
      <c r="AE50" s="47">
        <f t="shared" si="8"/>
        <v>0</v>
      </c>
    </row>
    <row r="51" spans="1:31" ht="29.25" customHeight="1" x14ac:dyDescent="0.25">
      <c r="A51" s="56"/>
      <c r="B51" s="56" t="s">
        <v>100</v>
      </c>
      <c r="C51" s="46" t="s">
        <v>96</v>
      </c>
      <c r="D51" s="48" t="s">
        <v>146</v>
      </c>
      <c r="E51" s="56">
        <v>458</v>
      </c>
      <c r="F51" s="56" t="s">
        <v>156</v>
      </c>
      <c r="G51" s="61">
        <v>165</v>
      </c>
      <c r="H51" s="35">
        <f>G51*E51</f>
        <v>75570</v>
      </c>
      <c r="I51" s="36">
        <v>458</v>
      </c>
      <c r="J51" s="37">
        <f>E51-I51</f>
        <v>0</v>
      </c>
      <c r="K51" s="18">
        <f t="shared" si="0"/>
        <v>458</v>
      </c>
      <c r="L51" s="18">
        <f t="shared" si="1"/>
        <v>0</v>
      </c>
      <c r="M51" s="38">
        <v>0</v>
      </c>
      <c r="N51" s="39">
        <f>M51*G51</f>
        <v>0</v>
      </c>
      <c r="P51" s="38">
        <v>458</v>
      </c>
      <c r="Q51" s="41">
        <v>350</v>
      </c>
      <c r="R51" s="39">
        <f t="shared" si="2"/>
        <v>160300</v>
      </c>
      <c r="T51" s="38"/>
      <c r="U51" s="42">
        <f t="shared" si="3"/>
        <v>0</v>
      </c>
      <c r="V51" s="38">
        <v>458</v>
      </c>
      <c r="W51" s="42">
        <f t="shared" si="4"/>
        <v>160300</v>
      </c>
      <c r="X51" s="38"/>
      <c r="Y51" s="42">
        <f t="shared" si="5"/>
        <v>0</v>
      </c>
      <c r="Z51" s="38"/>
      <c r="AA51" s="42">
        <f t="shared" si="6"/>
        <v>0</v>
      </c>
      <c r="AB51" s="43"/>
      <c r="AC51" s="44">
        <f t="shared" si="7"/>
        <v>0</v>
      </c>
      <c r="AE51" s="47">
        <f t="shared" si="8"/>
        <v>0</v>
      </c>
    </row>
    <row r="52" spans="1:31" ht="29.25" customHeight="1" x14ac:dyDescent="0.25">
      <c r="A52" s="56">
        <v>43</v>
      </c>
      <c r="B52" s="56" t="s">
        <v>101</v>
      </c>
      <c r="C52" s="46" t="s">
        <v>102</v>
      </c>
      <c r="D52" s="48">
        <v>108333014</v>
      </c>
      <c r="E52" s="56">
        <v>3500</v>
      </c>
      <c r="F52" s="56" t="s">
        <v>156</v>
      </c>
      <c r="G52" s="61">
        <v>50</v>
      </c>
      <c r="H52" s="35">
        <f>G52*E52</f>
        <v>175000</v>
      </c>
      <c r="I52" s="36">
        <v>3500</v>
      </c>
      <c r="J52" s="37">
        <f>E52-I52</f>
        <v>0</v>
      </c>
      <c r="K52" s="18">
        <f t="shared" si="0"/>
        <v>3500</v>
      </c>
      <c r="L52" s="18">
        <f t="shared" si="1"/>
        <v>0</v>
      </c>
      <c r="M52" s="38">
        <v>3000</v>
      </c>
      <c r="N52" s="39">
        <f>M52*G52</f>
        <v>150000</v>
      </c>
      <c r="P52" s="38">
        <v>500</v>
      </c>
      <c r="Q52" s="41">
        <v>103</v>
      </c>
      <c r="R52" s="39">
        <f t="shared" si="2"/>
        <v>51500</v>
      </c>
      <c r="T52" s="38"/>
      <c r="U52" s="42">
        <f t="shared" si="3"/>
        <v>0</v>
      </c>
      <c r="V52" s="38">
        <v>500</v>
      </c>
      <c r="W52" s="42">
        <f t="shared" si="4"/>
        <v>51500</v>
      </c>
      <c r="X52" s="38"/>
      <c r="Y52" s="42">
        <f t="shared" si="5"/>
        <v>0</v>
      </c>
      <c r="Z52" s="38"/>
      <c r="AA52" s="42">
        <f t="shared" si="6"/>
        <v>0</v>
      </c>
      <c r="AB52" s="43"/>
      <c r="AC52" s="44">
        <f t="shared" si="7"/>
        <v>0</v>
      </c>
      <c r="AE52" s="47">
        <f t="shared" si="8"/>
        <v>0</v>
      </c>
    </row>
    <row r="53" spans="1:31" ht="29.25" customHeight="1" x14ac:dyDescent="0.25">
      <c r="A53" s="56">
        <v>45</v>
      </c>
      <c r="B53" s="56" t="s">
        <v>103</v>
      </c>
      <c r="C53" s="46" t="s">
        <v>94</v>
      </c>
      <c r="D53" s="48">
        <v>760092429</v>
      </c>
      <c r="E53" s="56">
        <v>3500</v>
      </c>
      <c r="F53" s="56" t="s">
        <v>156</v>
      </c>
      <c r="G53" s="61">
        <v>165</v>
      </c>
      <c r="H53" s="35">
        <f>G53*E53</f>
        <v>577500</v>
      </c>
      <c r="I53" s="36">
        <v>3500</v>
      </c>
      <c r="J53" s="37">
        <f>E53-I53</f>
        <v>0</v>
      </c>
      <c r="K53" s="18">
        <f t="shared" si="0"/>
        <v>3500</v>
      </c>
      <c r="L53" s="18">
        <f t="shared" si="1"/>
        <v>0</v>
      </c>
      <c r="M53" s="38">
        <v>0</v>
      </c>
      <c r="N53" s="39">
        <f>M53*G53</f>
        <v>0</v>
      </c>
      <c r="P53" s="38">
        <v>3500</v>
      </c>
      <c r="Q53" s="41">
        <v>340</v>
      </c>
      <c r="R53" s="39">
        <f t="shared" si="2"/>
        <v>1190000</v>
      </c>
      <c r="T53" s="38">
        <v>3500</v>
      </c>
      <c r="U53" s="42">
        <f t="shared" si="3"/>
        <v>1190000</v>
      </c>
      <c r="V53" s="38"/>
      <c r="W53" s="42">
        <f t="shared" si="4"/>
        <v>0</v>
      </c>
      <c r="X53" s="38"/>
      <c r="Y53" s="42">
        <f t="shared" si="5"/>
        <v>0</v>
      </c>
      <c r="Z53" s="38"/>
      <c r="AA53" s="42">
        <f t="shared" si="6"/>
        <v>0</v>
      </c>
      <c r="AB53" s="43"/>
      <c r="AC53" s="44">
        <f t="shared" si="7"/>
        <v>0</v>
      </c>
      <c r="AE53" s="47">
        <f t="shared" si="8"/>
        <v>0</v>
      </c>
    </row>
    <row r="54" spans="1:31" ht="29.25" customHeight="1" x14ac:dyDescent="0.25">
      <c r="A54" s="56"/>
      <c r="B54" s="56" t="s">
        <v>104</v>
      </c>
      <c r="C54" s="46" t="s">
        <v>96</v>
      </c>
      <c r="D54" s="48" t="s">
        <v>146</v>
      </c>
      <c r="E54" s="56">
        <v>3500</v>
      </c>
      <c r="F54" s="56" t="s">
        <v>156</v>
      </c>
      <c r="G54" s="61">
        <v>170</v>
      </c>
      <c r="H54" s="35">
        <f>G54*E54</f>
        <v>595000</v>
      </c>
      <c r="I54" s="36">
        <v>3500</v>
      </c>
      <c r="J54" s="37">
        <f>E54-I54</f>
        <v>0</v>
      </c>
      <c r="K54" s="18">
        <f t="shared" si="0"/>
        <v>3500</v>
      </c>
      <c r="L54" s="18">
        <f t="shared" si="1"/>
        <v>0</v>
      </c>
      <c r="M54" s="38">
        <v>0</v>
      </c>
      <c r="N54" s="39">
        <f>M54*G54</f>
        <v>0</v>
      </c>
      <c r="P54" s="38">
        <v>3500</v>
      </c>
      <c r="Q54" s="41">
        <v>350</v>
      </c>
      <c r="R54" s="39">
        <f t="shared" si="2"/>
        <v>1225000</v>
      </c>
      <c r="T54" s="38"/>
      <c r="U54" s="42">
        <f t="shared" si="3"/>
        <v>0</v>
      </c>
      <c r="V54" s="38">
        <v>3500</v>
      </c>
      <c r="W54" s="42">
        <f t="shared" si="4"/>
        <v>1225000</v>
      </c>
      <c r="X54" s="38"/>
      <c r="Y54" s="42">
        <f t="shared" si="5"/>
        <v>0</v>
      </c>
      <c r="Z54" s="38"/>
      <c r="AA54" s="42">
        <f t="shared" si="6"/>
        <v>0</v>
      </c>
      <c r="AB54" s="43"/>
      <c r="AC54" s="44">
        <f t="shared" si="7"/>
        <v>0</v>
      </c>
      <c r="AE54" s="47">
        <f t="shared" si="8"/>
        <v>0</v>
      </c>
    </row>
    <row r="55" spans="1:31" ht="51" customHeight="1" x14ac:dyDescent="0.25">
      <c r="A55" s="56">
        <v>46</v>
      </c>
      <c r="B55" s="56" t="s">
        <v>105</v>
      </c>
      <c r="C55" s="46" t="s">
        <v>106</v>
      </c>
      <c r="D55" s="48" t="s">
        <v>107</v>
      </c>
      <c r="E55" s="56">
        <v>27</v>
      </c>
      <c r="F55" s="56" t="s">
        <v>156</v>
      </c>
      <c r="G55" s="61">
        <v>1500</v>
      </c>
      <c r="H55" s="35">
        <f>G55*E55</f>
        <v>40500</v>
      </c>
      <c r="I55" s="36">
        <v>27</v>
      </c>
      <c r="J55" s="37">
        <f>E55-I55</f>
        <v>0</v>
      </c>
      <c r="K55" s="18">
        <f t="shared" si="0"/>
        <v>27</v>
      </c>
      <c r="L55" s="18">
        <f t="shared" si="1"/>
        <v>0</v>
      </c>
      <c r="M55" s="38">
        <v>0</v>
      </c>
      <c r="N55" s="39">
        <f>M55*G55</f>
        <v>0</v>
      </c>
      <c r="P55" s="38">
        <v>27</v>
      </c>
      <c r="Q55" s="41">
        <v>3093</v>
      </c>
      <c r="R55" s="39">
        <f t="shared" si="2"/>
        <v>83511</v>
      </c>
      <c r="T55" s="38"/>
      <c r="U55" s="42">
        <f t="shared" si="3"/>
        <v>0</v>
      </c>
      <c r="V55" s="38">
        <v>27</v>
      </c>
      <c r="W55" s="42">
        <f t="shared" si="4"/>
        <v>83511</v>
      </c>
      <c r="X55" s="38"/>
      <c r="Y55" s="42">
        <f t="shared" si="5"/>
        <v>0</v>
      </c>
      <c r="Z55" s="38"/>
      <c r="AA55" s="42">
        <f t="shared" si="6"/>
        <v>0</v>
      </c>
      <c r="AB55" s="43"/>
      <c r="AC55" s="44">
        <f t="shared" si="7"/>
        <v>0</v>
      </c>
      <c r="AE55" s="47">
        <f t="shared" si="8"/>
        <v>0</v>
      </c>
    </row>
    <row r="56" spans="1:31" ht="51" customHeight="1" x14ac:dyDescent="0.25">
      <c r="A56" s="56">
        <v>47</v>
      </c>
      <c r="B56" s="56" t="s">
        <v>108</v>
      </c>
      <c r="C56" s="46" t="s">
        <v>109</v>
      </c>
      <c r="D56" s="48" t="s">
        <v>110</v>
      </c>
      <c r="E56" s="56">
        <v>27</v>
      </c>
      <c r="F56" s="56" t="s">
        <v>156</v>
      </c>
      <c r="G56" s="61">
        <v>230</v>
      </c>
      <c r="H56" s="35">
        <f>G56*E56</f>
        <v>6210</v>
      </c>
      <c r="I56" s="36">
        <v>27</v>
      </c>
      <c r="J56" s="37">
        <f>E56-I56</f>
        <v>0</v>
      </c>
      <c r="K56" s="18">
        <f t="shared" si="0"/>
        <v>27</v>
      </c>
      <c r="L56" s="18">
        <f t="shared" si="1"/>
        <v>0</v>
      </c>
      <c r="M56" s="38">
        <v>0</v>
      </c>
      <c r="N56" s="39">
        <f>M56*G56</f>
        <v>0</v>
      </c>
      <c r="P56" s="38">
        <v>27</v>
      </c>
      <c r="Q56" s="41">
        <v>474</v>
      </c>
      <c r="R56" s="39">
        <f t="shared" si="2"/>
        <v>12798</v>
      </c>
      <c r="T56" s="38"/>
      <c r="U56" s="42">
        <f t="shared" si="3"/>
        <v>0</v>
      </c>
      <c r="V56" s="38">
        <v>27</v>
      </c>
      <c r="W56" s="42">
        <f t="shared" si="4"/>
        <v>12798</v>
      </c>
      <c r="X56" s="38"/>
      <c r="Y56" s="42">
        <f t="shared" si="5"/>
        <v>0</v>
      </c>
      <c r="Z56" s="38"/>
      <c r="AA56" s="42">
        <f t="shared" si="6"/>
        <v>0</v>
      </c>
      <c r="AB56" s="43"/>
      <c r="AC56" s="44">
        <f t="shared" si="7"/>
        <v>0</v>
      </c>
      <c r="AE56" s="47">
        <f t="shared" si="8"/>
        <v>0</v>
      </c>
    </row>
    <row r="57" spans="1:31" ht="29.25" customHeight="1" x14ac:dyDescent="0.25">
      <c r="A57" s="56">
        <v>48</v>
      </c>
      <c r="B57" s="56" t="s">
        <v>86</v>
      </c>
      <c r="C57" s="46" t="s">
        <v>111</v>
      </c>
      <c r="D57" s="48">
        <v>760038240</v>
      </c>
      <c r="E57" s="56">
        <v>27</v>
      </c>
      <c r="F57" s="56" t="s">
        <v>156</v>
      </c>
      <c r="G57" s="61">
        <v>370</v>
      </c>
      <c r="H57" s="35">
        <f>G57*E57</f>
        <v>9990</v>
      </c>
      <c r="I57" s="36">
        <v>27</v>
      </c>
      <c r="J57" s="37">
        <f>E57-I57</f>
        <v>0</v>
      </c>
      <c r="K57" s="18">
        <f t="shared" si="0"/>
        <v>27</v>
      </c>
      <c r="L57" s="18">
        <f t="shared" si="1"/>
        <v>0</v>
      </c>
      <c r="M57" s="38">
        <v>0</v>
      </c>
      <c r="N57" s="39">
        <f>M57*G57</f>
        <v>0</v>
      </c>
      <c r="P57" s="38">
        <v>27</v>
      </c>
      <c r="Q57" s="41">
        <v>763</v>
      </c>
      <c r="R57" s="39">
        <f t="shared" si="2"/>
        <v>20601</v>
      </c>
      <c r="T57" s="38"/>
      <c r="U57" s="42">
        <f t="shared" si="3"/>
        <v>0</v>
      </c>
      <c r="V57" s="38">
        <v>27</v>
      </c>
      <c r="W57" s="42">
        <f t="shared" si="4"/>
        <v>20601</v>
      </c>
      <c r="X57" s="38"/>
      <c r="Y57" s="42">
        <f t="shared" si="5"/>
        <v>0</v>
      </c>
      <c r="Z57" s="38"/>
      <c r="AA57" s="42">
        <f t="shared" si="6"/>
        <v>0</v>
      </c>
      <c r="AB57" s="43"/>
      <c r="AC57" s="44">
        <f t="shared" si="7"/>
        <v>0</v>
      </c>
      <c r="AE57" s="47">
        <f t="shared" si="8"/>
        <v>0</v>
      </c>
    </row>
    <row r="58" spans="1:31" ht="68.25" customHeight="1" x14ac:dyDescent="0.25">
      <c r="A58" s="56">
        <v>49</v>
      </c>
      <c r="B58" s="56" t="s">
        <v>112</v>
      </c>
      <c r="C58" s="46" t="s">
        <v>113</v>
      </c>
      <c r="D58" s="48" t="s">
        <v>114</v>
      </c>
      <c r="E58" s="56">
        <v>324</v>
      </c>
      <c r="F58" s="56" t="s">
        <v>156</v>
      </c>
      <c r="G58" s="61">
        <v>60</v>
      </c>
      <c r="H58" s="35">
        <f>G58*E58</f>
        <v>19440</v>
      </c>
      <c r="I58" s="36">
        <v>324</v>
      </c>
      <c r="J58" s="37">
        <f>E58-I58</f>
        <v>0</v>
      </c>
      <c r="K58" s="18">
        <f t="shared" si="0"/>
        <v>324</v>
      </c>
      <c r="L58" s="18">
        <f t="shared" si="1"/>
        <v>0</v>
      </c>
      <c r="M58" s="38">
        <v>0</v>
      </c>
      <c r="N58" s="39">
        <f>M58*G58</f>
        <v>0</v>
      </c>
      <c r="P58" s="38">
        <v>324</v>
      </c>
      <c r="Q58" s="41">
        <v>123</v>
      </c>
      <c r="R58" s="39">
        <f t="shared" si="2"/>
        <v>39852</v>
      </c>
      <c r="T58" s="38"/>
      <c r="U58" s="42">
        <f t="shared" si="3"/>
        <v>0</v>
      </c>
      <c r="V58" s="38">
        <v>324</v>
      </c>
      <c r="W58" s="42">
        <f t="shared" si="4"/>
        <v>39852</v>
      </c>
      <c r="X58" s="38"/>
      <c r="Y58" s="42">
        <f t="shared" si="5"/>
        <v>0</v>
      </c>
      <c r="Z58" s="38"/>
      <c r="AA58" s="42">
        <f t="shared" si="6"/>
        <v>0</v>
      </c>
      <c r="AB58" s="43"/>
      <c r="AC58" s="44">
        <f t="shared" si="7"/>
        <v>0</v>
      </c>
      <c r="AE58" s="47">
        <f t="shared" si="8"/>
        <v>0</v>
      </c>
    </row>
    <row r="59" spans="1:31" ht="53.25" customHeight="1" x14ac:dyDescent="0.25">
      <c r="A59" s="56">
        <v>50</v>
      </c>
      <c r="B59" s="56" t="s">
        <v>115</v>
      </c>
      <c r="C59" s="46" t="s">
        <v>116</v>
      </c>
      <c r="D59" s="48" t="s">
        <v>147</v>
      </c>
      <c r="E59" s="56">
        <v>648</v>
      </c>
      <c r="F59" s="56" t="s">
        <v>156</v>
      </c>
      <c r="G59" s="61">
        <v>65</v>
      </c>
      <c r="H59" s="35">
        <f>G59*E59</f>
        <v>42120</v>
      </c>
      <c r="I59" s="36">
        <v>648</v>
      </c>
      <c r="J59" s="37">
        <f>E59-I59</f>
        <v>0</v>
      </c>
      <c r="K59" s="18">
        <f t="shared" si="0"/>
        <v>648</v>
      </c>
      <c r="L59" s="18">
        <f t="shared" si="1"/>
        <v>0</v>
      </c>
      <c r="M59" s="38">
        <v>0</v>
      </c>
      <c r="N59" s="39">
        <f>M59*G59</f>
        <v>0</v>
      </c>
      <c r="P59" s="38">
        <v>648</v>
      </c>
      <c r="Q59" s="41">
        <v>134</v>
      </c>
      <c r="R59" s="39">
        <f t="shared" si="2"/>
        <v>86832</v>
      </c>
      <c r="T59" s="38">
        <v>648</v>
      </c>
      <c r="U59" s="42">
        <f t="shared" si="3"/>
        <v>86832</v>
      </c>
      <c r="V59" s="38"/>
      <c r="W59" s="42">
        <f t="shared" si="4"/>
        <v>0</v>
      </c>
      <c r="X59" s="38"/>
      <c r="Y59" s="42">
        <f t="shared" si="5"/>
        <v>0</v>
      </c>
      <c r="Z59" s="38"/>
      <c r="AA59" s="42">
        <f t="shared" si="6"/>
        <v>0</v>
      </c>
      <c r="AB59" s="43"/>
      <c r="AC59" s="44">
        <f t="shared" si="7"/>
        <v>0</v>
      </c>
      <c r="AE59" s="47">
        <f t="shared" si="8"/>
        <v>0</v>
      </c>
    </row>
    <row r="60" spans="1:31" ht="53.25" customHeight="1" x14ac:dyDescent="0.25">
      <c r="A60" s="56">
        <v>51</v>
      </c>
      <c r="B60" s="56" t="s">
        <v>117</v>
      </c>
      <c r="C60" s="46" t="s">
        <v>118</v>
      </c>
      <c r="D60" s="48" t="s">
        <v>119</v>
      </c>
      <c r="E60" s="56">
        <v>324</v>
      </c>
      <c r="F60" s="56" t="s">
        <v>156</v>
      </c>
      <c r="G60" s="61">
        <v>390</v>
      </c>
      <c r="H60" s="35">
        <f>G60*E60</f>
        <v>126360</v>
      </c>
      <c r="I60" s="36">
        <v>324</v>
      </c>
      <c r="J60" s="37">
        <f>E60-I60</f>
        <v>0</v>
      </c>
      <c r="K60" s="18">
        <f t="shared" si="0"/>
        <v>324</v>
      </c>
      <c r="L60" s="18">
        <f t="shared" si="1"/>
        <v>0</v>
      </c>
      <c r="M60" s="38">
        <v>0</v>
      </c>
      <c r="N60" s="39">
        <f>M60*G60</f>
        <v>0</v>
      </c>
      <c r="P60" s="38">
        <v>324</v>
      </c>
      <c r="Q60" s="41">
        <v>804</v>
      </c>
      <c r="R60" s="39">
        <f t="shared" si="2"/>
        <v>260496</v>
      </c>
      <c r="T60" s="38"/>
      <c r="U60" s="42">
        <f t="shared" si="3"/>
        <v>0</v>
      </c>
      <c r="V60" s="38">
        <v>324</v>
      </c>
      <c r="W60" s="42">
        <f t="shared" si="4"/>
        <v>260496</v>
      </c>
      <c r="X60" s="38"/>
      <c r="Y60" s="42">
        <f t="shared" si="5"/>
        <v>0</v>
      </c>
      <c r="Z60" s="38"/>
      <c r="AA60" s="42">
        <f t="shared" si="6"/>
        <v>0</v>
      </c>
      <c r="AB60" s="43"/>
      <c r="AC60" s="44">
        <f t="shared" si="7"/>
        <v>0</v>
      </c>
      <c r="AE60" s="47">
        <f t="shared" si="8"/>
        <v>0</v>
      </c>
    </row>
    <row r="61" spans="1:31" ht="53.25" customHeight="1" x14ac:dyDescent="0.25">
      <c r="A61" s="56">
        <v>52</v>
      </c>
      <c r="B61" s="56" t="s">
        <v>120</v>
      </c>
      <c r="C61" s="46" t="s">
        <v>106</v>
      </c>
      <c r="D61" s="48" t="s">
        <v>107</v>
      </c>
      <c r="E61" s="56">
        <v>176</v>
      </c>
      <c r="F61" s="56" t="s">
        <v>156</v>
      </c>
      <c r="G61" s="61">
        <v>1500</v>
      </c>
      <c r="H61" s="35">
        <f>G61*E61</f>
        <v>264000</v>
      </c>
      <c r="I61" s="36">
        <v>176</v>
      </c>
      <c r="J61" s="37">
        <f>E61-I61</f>
        <v>0</v>
      </c>
      <c r="K61" s="18">
        <f t="shared" si="0"/>
        <v>176</v>
      </c>
      <c r="L61" s="18">
        <f t="shared" si="1"/>
        <v>0</v>
      </c>
      <c r="M61" s="38">
        <v>0</v>
      </c>
      <c r="N61" s="39">
        <f>M61*G61</f>
        <v>0</v>
      </c>
      <c r="P61" s="38">
        <v>176</v>
      </c>
      <c r="Q61" s="41">
        <v>3093</v>
      </c>
      <c r="R61" s="39">
        <f t="shared" si="2"/>
        <v>544368</v>
      </c>
      <c r="T61" s="38"/>
      <c r="U61" s="42">
        <f t="shared" si="3"/>
        <v>0</v>
      </c>
      <c r="V61" s="38">
        <v>176</v>
      </c>
      <c r="W61" s="42">
        <f t="shared" si="4"/>
        <v>544368</v>
      </c>
      <c r="X61" s="38"/>
      <c r="Y61" s="42">
        <f t="shared" si="5"/>
        <v>0</v>
      </c>
      <c r="Z61" s="38"/>
      <c r="AA61" s="42">
        <f t="shared" si="6"/>
        <v>0</v>
      </c>
      <c r="AB61" s="43"/>
      <c r="AC61" s="44">
        <f t="shared" si="7"/>
        <v>0</v>
      </c>
      <c r="AE61" s="47">
        <f t="shared" si="8"/>
        <v>0</v>
      </c>
    </row>
    <row r="62" spans="1:31" ht="53.25" customHeight="1" x14ac:dyDescent="0.25">
      <c r="A62" s="56">
        <v>53</v>
      </c>
      <c r="B62" s="56" t="s">
        <v>108</v>
      </c>
      <c r="C62" s="46" t="s">
        <v>109</v>
      </c>
      <c r="D62" s="48" t="s">
        <v>110</v>
      </c>
      <c r="E62" s="56">
        <v>176</v>
      </c>
      <c r="F62" s="56" t="s">
        <v>156</v>
      </c>
      <c r="G62" s="61">
        <v>220</v>
      </c>
      <c r="H62" s="35">
        <f>G62*E62</f>
        <v>38720</v>
      </c>
      <c r="I62" s="36">
        <v>176</v>
      </c>
      <c r="J62" s="37">
        <f>E62-I62</f>
        <v>0</v>
      </c>
      <c r="K62" s="18">
        <f t="shared" si="0"/>
        <v>176</v>
      </c>
      <c r="L62" s="18">
        <f t="shared" si="1"/>
        <v>0</v>
      </c>
      <c r="M62" s="38">
        <v>0</v>
      </c>
      <c r="N62" s="39">
        <f>M62*G62</f>
        <v>0</v>
      </c>
      <c r="P62" s="38">
        <v>176</v>
      </c>
      <c r="Q62" s="41">
        <v>453</v>
      </c>
      <c r="R62" s="39">
        <f t="shared" si="2"/>
        <v>79728</v>
      </c>
      <c r="T62" s="38"/>
      <c r="U62" s="42">
        <f t="shared" si="3"/>
        <v>0</v>
      </c>
      <c r="V62" s="38">
        <v>176</v>
      </c>
      <c r="W62" s="42">
        <f t="shared" si="4"/>
        <v>79728</v>
      </c>
      <c r="X62" s="38"/>
      <c r="Y62" s="42">
        <f t="shared" si="5"/>
        <v>0</v>
      </c>
      <c r="Z62" s="38"/>
      <c r="AA62" s="42">
        <f t="shared" si="6"/>
        <v>0</v>
      </c>
      <c r="AB62" s="43"/>
      <c r="AC62" s="44">
        <f t="shared" si="7"/>
        <v>0</v>
      </c>
      <c r="AE62" s="47">
        <f t="shared" si="8"/>
        <v>0</v>
      </c>
    </row>
    <row r="63" spans="1:31" ht="53.25" customHeight="1" x14ac:dyDescent="0.25">
      <c r="A63" s="56">
        <v>54</v>
      </c>
      <c r="B63" s="56" t="s">
        <v>86</v>
      </c>
      <c r="C63" s="46" t="s">
        <v>111</v>
      </c>
      <c r="D63" s="48">
        <v>760038240</v>
      </c>
      <c r="E63" s="56">
        <v>176</v>
      </c>
      <c r="F63" s="56" t="s">
        <v>156</v>
      </c>
      <c r="G63" s="61">
        <v>350</v>
      </c>
      <c r="H63" s="35">
        <f>G63*E63</f>
        <v>61600</v>
      </c>
      <c r="I63" s="36">
        <v>176</v>
      </c>
      <c r="J63" s="37">
        <f>E63-I63</f>
        <v>0</v>
      </c>
      <c r="K63" s="18">
        <f t="shared" si="0"/>
        <v>176</v>
      </c>
      <c r="L63" s="18">
        <f t="shared" si="1"/>
        <v>0</v>
      </c>
      <c r="M63" s="38">
        <v>0</v>
      </c>
      <c r="N63" s="39">
        <f>M63*G63</f>
        <v>0</v>
      </c>
      <c r="P63" s="38">
        <v>176</v>
      </c>
      <c r="Q63" s="41">
        <v>721</v>
      </c>
      <c r="R63" s="39">
        <f t="shared" si="2"/>
        <v>126896</v>
      </c>
      <c r="T63" s="38"/>
      <c r="U63" s="42">
        <f t="shared" si="3"/>
        <v>0</v>
      </c>
      <c r="V63" s="38">
        <v>176</v>
      </c>
      <c r="W63" s="42">
        <f t="shared" si="4"/>
        <v>126896</v>
      </c>
      <c r="X63" s="38"/>
      <c r="Y63" s="42">
        <f t="shared" si="5"/>
        <v>0</v>
      </c>
      <c r="Z63" s="38"/>
      <c r="AA63" s="42">
        <f t="shared" si="6"/>
        <v>0</v>
      </c>
      <c r="AB63" s="43"/>
      <c r="AC63" s="44">
        <f t="shared" si="7"/>
        <v>0</v>
      </c>
      <c r="AE63" s="47">
        <f t="shared" si="8"/>
        <v>0</v>
      </c>
    </row>
    <row r="64" spans="1:31" ht="53.25" customHeight="1" x14ac:dyDescent="0.25">
      <c r="A64" s="56">
        <v>55</v>
      </c>
      <c r="B64" s="56" t="s">
        <v>121</v>
      </c>
      <c r="C64" s="46" t="s">
        <v>122</v>
      </c>
      <c r="D64" s="48" t="s">
        <v>123</v>
      </c>
      <c r="E64" s="56">
        <v>2376</v>
      </c>
      <c r="F64" s="56" t="s">
        <v>156</v>
      </c>
      <c r="G64" s="61">
        <v>50</v>
      </c>
      <c r="H64" s="35">
        <f>G64*E64</f>
        <v>118800</v>
      </c>
      <c r="I64" s="36">
        <v>1000</v>
      </c>
      <c r="J64" s="37">
        <f>E64-I64</f>
        <v>1376</v>
      </c>
      <c r="K64" s="18">
        <f t="shared" si="0"/>
        <v>1000</v>
      </c>
      <c r="L64" s="18">
        <f t="shared" si="1"/>
        <v>0</v>
      </c>
      <c r="M64" s="38">
        <v>0</v>
      </c>
      <c r="N64" s="39">
        <f>M64*G64</f>
        <v>0</v>
      </c>
      <c r="P64" s="38">
        <v>2376</v>
      </c>
      <c r="Q64" s="41">
        <v>103</v>
      </c>
      <c r="R64" s="39">
        <f t="shared" si="2"/>
        <v>244728</v>
      </c>
      <c r="T64" s="38"/>
      <c r="U64" s="42">
        <f t="shared" si="3"/>
        <v>0</v>
      </c>
      <c r="V64" s="38">
        <v>1000</v>
      </c>
      <c r="W64" s="42">
        <f t="shared" si="4"/>
        <v>103000</v>
      </c>
      <c r="X64" s="38"/>
      <c r="Y64" s="42">
        <f t="shared" si="5"/>
        <v>0</v>
      </c>
      <c r="Z64" s="38"/>
      <c r="AA64" s="42">
        <f t="shared" si="6"/>
        <v>0</v>
      </c>
      <c r="AB64" s="43"/>
      <c r="AC64" s="44">
        <f t="shared" si="7"/>
        <v>0</v>
      </c>
      <c r="AE64" s="47">
        <f t="shared" si="8"/>
        <v>141728</v>
      </c>
    </row>
    <row r="65" spans="1:31" ht="29.25" customHeight="1" x14ac:dyDescent="0.25">
      <c r="A65" s="56">
        <v>56</v>
      </c>
      <c r="B65" s="56" t="s">
        <v>124</v>
      </c>
      <c r="C65" s="46" t="s">
        <v>125</v>
      </c>
      <c r="D65" s="48" t="s">
        <v>126</v>
      </c>
      <c r="E65" s="56">
        <v>4752</v>
      </c>
      <c r="F65" s="56" t="s">
        <v>156</v>
      </c>
      <c r="G65" s="61">
        <v>85</v>
      </c>
      <c r="H65" s="35">
        <f>G65*E65</f>
        <v>403920</v>
      </c>
      <c r="I65" s="36">
        <v>4752</v>
      </c>
      <c r="J65" s="37">
        <f>E65-I65</f>
        <v>0</v>
      </c>
      <c r="K65" s="18">
        <f t="shared" si="0"/>
        <v>4752</v>
      </c>
      <c r="L65" s="18">
        <f t="shared" si="1"/>
        <v>0</v>
      </c>
      <c r="M65" s="38">
        <v>0</v>
      </c>
      <c r="N65" s="39">
        <f>M65*G65</f>
        <v>0</v>
      </c>
      <c r="P65" s="38">
        <v>4752</v>
      </c>
      <c r="Q65" s="41">
        <v>175</v>
      </c>
      <c r="R65" s="39">
        <f t="shared" si="2"/>
        <v>831600</v>
      </c>
      <c r="T65" s="38"/>
      <c r="U65" s="42">
        <f t="shared" si="3"/>
        <v>0</v>
      </c>
      <c r="V65" s="38">
        <v>4752</v>
      </c>
      <c r="W65" s="42">
        <f t="shared" si="4"/>
        <v>831600</v>
      </c>
      <c r="X65" s="38"/>
      <c r="Y65" s="42">
        <f t="shared" si="5"/>
        <v>0</v>
      </c>
      <c r="Z65" s="38"/>
      <c r="AA65" s="42">
        <f t="shared" si="6"/>
        <v>0</v>
      </c>
      <c r="AB65" s="43"/>
      <c r="AC65" s="44">
        <f t="shared" si="7"/>
        <v>0</v>
      </c>
      <c r="AE65" s="47">
        <f t="shared" si="8"/>
        <v>0</v>
      </c>
    </row>
    <row r="66" spans="1:31" ht="29.25" customHeight="1" x14ac:dyDescent="0.25">
      <c r="A66" s="56">
        <v>57</v>
      </c>
      <c r="B66" s="56" t="s">
        <v>127</v>
      </c>
      <c r="C66" s="46" t="s">
        <v>118</v>
      </c>
      <c r="D66" s="48" t="s">
        <v>128</v>
      </c>
      <c r="E66" s="56">
        <v>2376</v>
      </c>
      <c r="F66" s="56" t="s">
        <v>156</v>
      </c>
      <c r="G66" s="61">
        <v>400</v>
      </c>
      <c r="H66" s="35">
        <f>G66*E66</f>
        <v>950400</v>
      </c>
      <c r="I66" s="36">
        <v>2376</v>
      </c>
      <c r="J66" s="37">
        <f>E66-I66</f>
        <v>0</v>
      </c>
      <c r="K66" s="18">
        <f t="shared" si="0"/>
        <v>2376</v>
      </c>
      <c r="L66" s="18">
        <f t="shared" si="1"/>
        <v>0</v>
      </c>
      <c r="M66" s="38">
        <v>0</v>
      </c>
      <c r="N66" s="39">
        <f>M66*G66</f>
        <v>0</v>
      </c>
      <c r="P66" s="38">
        <v>2376</v>
      </c>
      <c r="Q66" s="41">
        <v>824</v>
      </c>
      <c r="R66" s="39">
        <f t="shared" si="2"/>
        <v>1957824</v>
      </c>
      <c r="T66" s="38">
        <v>2376</v>
      </c>
      <c r="U66" s="42">
        <f>T66*Q66</f>
        <v>1957824</v>
      </c>
      <c r="V66" s="38"/>
      <c r="W66" s="42">
        <f t="shared" si="4"/>
        <v>0</v>
      </c>
      <c r="X66" s="38"/>
      <c r="Y66" s="42">
        <f t="shared" si="5"/>
        <v>0</v>
      </c>
      <c r="Z66" s="38"/>
      <c r="AA66" s="42">
        <f t="shared" si="6"/>
        <v>0</v>
      </c>
      <c r="AB66" s="43"/>
      <c r="AC66" s="44">
        <f t="shared" si="7"/>
        <v>0</v>
      </c>
      <c r="AE66" s="47">
        <f t="shared" si="8"/>
        <v>0</v>
      </c>
    </row>
    <row r="67" spans="1:31" ht="29.25" customHeight="1" x14ac:dyDescent="0.25">
      <c r="A67" s="56"/>
      <c r="B67" s="56" t="s">
        <v>129</v>
      </c>
      <c r="C67" s="46" t="s">
        <v>130</v>
      </c>
      <c r="D67" s="48"/>
      <c r="E67" s="56">
        <v>14</v>
      </c>
      <c r="F67" s="56" t="s">
        <v>157</v>
      </c>
      <c r="G67" s="61">
        <v>55000</v>
      </c>
      <c r="H67" s="35">
        <f>G67*E67</f>
        <v>770000</v>
      </c>
      <c r="I67" s="36">
        <v>14</v>
      </c>
      <c r="J67" s="37">
        <f>E67-I67</f>
        <v>0</v>
      </c>
      <c r="K67" s="18">
        <f t="shared" si="0"/>
        <v>14</v>
      </c>
      <c r="L67" s="18">
        <f t="shared" si="1"/>
        <v>0</v>
      </c>
      <c r="M67" s="38">
        <v>14</v>
      </c>
      <c r="N67" s="39">
        <f>M67*G67</f>
        <v>770000</v>
      </c>
      <c r="P67" s="38">
        <v>0</v>
      </c>
      <c r="Q67" s="41">
        <v>0</v>
      </c>
      <c r="R67" s="39">
        <f t="shared" si="2"/>
        <v>0</v>
      </c>
      <c r="T67" s="38"/>
      <c r="U67" s="42">
        <f t="shared" si="3"/>
        <v>0</v>
      </c>
      <c r="V67" s="38"/>
      <c r="W67" s="42">
        <f t="shared" si="4"/>
        <v>0</v>
      </c>
      <c r="X67" s="38"/>
      <c r="Y67" s="42">
        <f t="shared" si="5"/>
        <v>0</v>
      </c>
      <c r="Z67" s="38"/>
      <c r="AA67" s="42">
        <f t="shared" si="6"/>
        <v>0</v>
      </c>
      <c r="AB67" s="43"/>
      <c r="AC67" s="44">
        <f t="shared" si="7"/>
        <v>0</v>
      </c>
      <c r="AE67" s="47">
        <f t="shared" si="8"/>
        <v>0</v>
      </c>
    </row>
    <row r="68" spans="1:31" ht="29.25" customHeight="1" x14ac:dyDescent="0.25">
      <c r="A68" s="56">
        <v>58</v>
      </c>
      <c r="B68" s="56" t="s">
        <v>131</v>
      </c>
      <c r="C68" s="46" t="s">
        <v>132</v>
      </c>
      <c r="D68" s="48"/>
      <c r="E68" s="56">
        <v>6</v>
      </c>
      <c r="F68" s="56" t="s">
        <v>157</v>
      </c>
      <c r="G68" s="61">
        <v>16000</v>
      </c>
      <c r="H68" s="35">
        <f>G68*E68</f>
        <v>96000</v>
      </c>
      <c r="I68" s="36">
        <v>6</v>
      </c>
      <c r="J68" s="37">
        <f>E68-I68</f>
        <v>0</v>
      </c>
      <c r="K68" s="18">
        <f t="shared" si="0"/>
        <v>6</v>
      </c>
      <c r="L68" s="18">
        <f t="shared" si="1"/>
        <v>0</v>
      </c>
      <c r="M68" s="38">
        <v>0</v>
      </c>
      <c r="N68" s="39">
        <f>M68*G68</f>
        <v>0</v>
      </c>
      <c r="P68" s="38">
        <v>6</v>
      </c>
      <c r="Q68" s="41">
        <v>33994</v>
      </c>
      <c r="R68" s="39">
        <f t="shared" si="2"/>
        <v>203964</v>
      </c>
      <c r="T68" s="38"/>
      <c r="U68" s="42">
        <f t="shared" si="3"/>
        <v>0</v>
      </c>
      <c r="V68" s="38">
        <v>6</v>
      </c>
      <c r="W68" s="42">
        <f t="shared" si="4"/>
        <v>203964</v>
      </c>
      <c r="X68" s="38"/>
      <c r="Y68" s="42">
        <f t="shared" si="5"/>
        <v>0</v>
      </c>
      <c r="Z68" s="38"/>
      <c r="AA68" s="42">
        <f t="shared" si="6"/>
        <v>0</v>
      </c>
      <c r="AB68" s="43"/>
      <c r="AC68" s="44">
        <f t="shared" si="7"/>
        <v>0</v>
      </c>
      <c r="AE68" s="47">
        <f t="shared" si="8"/>
        <v>0</v>
      </c>
    </row>
    <row r="69" spans="1:31" ht="29.25" customHeight="1" x14ac:dyDescent="0.25">
      <c r="A69" s="56">
        <v>59</v>
      </c>
      <c r="B69" s="56" t="s">
        <v>133</v>
      </c>
      <c r="C69" s="46" t="s">
        <v>134</v>
      </c>
      <c r="D69" s="48"/>
      <c r="E69" s="56">
        <v>42</v>
      </c>
      <c r="F69" s="56" t="s">
        <v>157</v>
      </c>
      <c r="G69" s="61">
        <v>12000</v>
      </c>
      <c r="H69" s="35">
        <f>G69*E69</f>
        <v>504000</v>
      </c>
      <c r="I69" s="36">
        <v>42</v>
      </c>
      <c r="J69" s="37">
        <f>E69-I69</f>
        <v>0</v>
      </c>
      <c r="K69" s="18">
        <f t="shared" si="0"/>
        <v>42</v>
      </c>
      <c r="L69" s="18">
        <f t="shared" si="1"/>
        <v>0</v>
      </c>
      <c r="M69" s="38">
        <v>25</v>
      </c>
      <c r="N69" s="39">
        <f>M69*G69</f>
        <v>300000</v>
      </c>
      <c r="P69" s="38">
        <v>17</v>
      </c>
      <c r="Q69" s="41">
        <v>24976</v>
      </c>
      <c r="R69" s="39">
        <f t="shared" si="2"/>
        <v>424592</v>
      </c>
      <c r="T69" s="38"/>
      <c r="U69" s="42">
        <f t="shared" si="3"/>
        <v>0</v>
      </c>
      <c r="V69" s="38"/>
      <c r="W69" s="42">
        <f t="shared" si="4"/>
        <v>0</v>
      </c>
      <c r="X69" s="38">
        <v>17</v>
      </c>
      <c r="Y69" s="42">
        <f t="shared" si="5"/>
        <v>424592</v>
      </c>
      <c r="Z69" s="38">
        <v>0</v>
      </c>
      <c r="AA69" s="42">
        <f t="shared" si="6"/>
        <v>0</v>
      </c>
      <c r="AB69" s="43"/>
      <c r="AC69" s="44">
        <f t="shared" si="7"/>
        <v>0</v>
      </c>
      <c r="AE69" s="47">
        <f t="shared" si="8"/>
        <v>0</v>
      </c>
    </row>
    <row r="70" spans="1:31" ht="29.25" customHeight="1" x14ac:dyDescent="0.25">
      <c r="A70" s="56">
        <v>60</v>
      </c>
      <c r="B70" s="56" t="s">
        <v>135</v>
      </c>
      <c r="C70" s="46" t="s">
        <v>135</v>
      </c>
      <c r="D70" s="48"/>
      <c r="E70" s="56">
        <v>58</v>
      </c>
      <c r="F70" s="56" t="s">
        <v>157</v>
      </c>
      <c r="G70" s="61">
        <v>10000</v>
      </c>
      <c r="H70" s="35">
        <f>G70*E70</f>
        <v>580000</v>
      </c>
      <c r="I70" s="36">
        <v>25</v>
      </c>
      <c r="J70" s="37">
        <f>E70-I70</f>
        <v>33</v>
      </c>
      <c r="K70" s="18">
        <f t="shared" si="0"/>
        <v>25</v>
      </c>
      <c r="L70" s="18">
        <f t="shared" si="1"/>
        <v>0</v>
      </c>
      <c r="M70" s="38">
        <v>0</v>
      </c>
      <c r="N70" s="39">
        <f>M70*G70</f>
        <v>0</v>
      </c>
      <c r="P70" s="38">
        <v>58</v>
      </c>
      <c r="Q70" s="41">
        <v>20860</v>
      </c>
      <c r="R70" s="39">
        <f t="shared" si="2"/>
        <v>1209880</v>
      </c>
      <c r="T70" s="38"/>
      <c r="U70" s="42">
        <f t="shared" si="3"/>
        <v>0</v>
      </c>
      <c r="V70" s="38"/>
      <c r="W70" s="42">
        <f t="shared" si="4"/>
        <v>0</v>
      </c>
      <c r="X70" s="38">
        <v>25</v>
      </c>
      <c r="Y70" s="42">
        <f t="shared" si="5"/>
        <v>521500</v>
      </c>
      <c r="Z70" s="38">
        <v>0</v>
      </c>
      <c r="AA70" s="42">
        <f t="shared" si="6"/>
        <v>0</v>
      </c>
      <c r="AB70" s="43"/>
      <c r="AC70" s="44">
        <f t="shared" si="7"/>
        <v>0</v>
      </c>
      <c r="AE70" s="47">
        <f t="shared" si="8"/>
        <v>688380</v>
      </c>
    </row>
    <row r="71" spans="1:31" ht="29.25" customHeight="1" x14ac:dyDescent="0.25">
      <c r="A71" s="56">
        <v>61</v>
      </c>
      <c r="B71" s="56" t="s">
        <v>136</v>
      </c>
      <c r="C71" s="46" t="s">
        <v>136</v>
      </c>
      <c r="D71" s="48"/>
      <c r="E71" s="56">
        <v>54</v>
      </c>
      <c r="F71" s="56" t="s">
        <v>157</v>
      </c>
      <c r="G71" s="61">
        <v>9500</v>
      </c>
      <c r="H71" s="35">
        <f>G71*E71</f>
        <v>513000</v>
      </c>
      <c r="I71" s="36">
        <v>0</v>
      </c>
      <c r="J71" s="37">
        <f>E71-I71</f>
        <v>54</v>
      </c>
      <c r="K71" s="18">
        <f t="shared" ref="K71:K75" si="9">M71+T71+V71+X71+Z71</f>
        <v>0</v>
      </c>
      <c r="L71" s="18">
        <f t="shared" ref="L71:L75" si="10">I71-K71</f>
        <v>0</v>
      </c>
      <c r="M71" s="38">
        <v>0</v>
      </c>
      <c r="N71" s="39">
        <f>M71*G71</f>
        <v>0</v>
      </c>
      <c r="P71" s="38">
        <v>54</v>
      </c>
      <c r="Q71" s="41">
        <v>19642</v>
      </c>
      <c r="R71" s="39">
        <f t="shared" ref="R71:R75" si="11">Q71*P71</f>
        <v>1060668</v>
      </c>
      <c r="T71" s="38"/>
      <c r="U71" s="42">
        <f t="shared" ref="U71:U75" si="12">T71*Q71</f>
        <v>0</v>
      </c>
      <c r="V71" s="38"/>
      <c r="W71" s="42">
        <f t="shared" ref="W71:W75" si="13">V71*Q71</f>
        <v>0</v>
      </c>
      <c r="X71" s="38"/>
      <c r="Y71" s="42">
        <f t="shared" ref="Y71:Y75" si="14">X71*Q71</f>
        <v>0</v>
      </c>
      <c r="Z71" s="38"/>
      <c r="AA71" s="42">
        <f t="shared" ref="AA71:AA75" si="15">Z71*Q71</f>
        <v>0</v>
      </c>
      <c r="AB71" s="43"/>
      <c r="AC71" s="44">
        <f t="shared" ref="AC71:AC75" si="16">L71*Q71</f>
        <v>0</v>
      </c>
      <c r="AE71" s="47">
        <f t="shared" ref="AE71:AE75" si="17">J71*Q71</f>
        <v>1060668</v>
      </c>
    </row>
    <row r="72" spans="1:31" ht="29.25" customHeight="1" x14ac:dyDescent="0.25">
      <c r="A72" s="56">
        <v>62</v>
      </c>
      <c r="B72" s="56" t="s">
        <v>137</v>
      </c>
      <c r="C72" s="46" t="s">
        <v>137</v>
      </c>
      <c r="D72" s="48"/>
      <c r="E72" s="56">
        <v>10</v>
      </c>
      <c r="F72" s="56" t="s">
        <v>157</v>
      </c>
      <c r="G72" s="61">
        <v>9000</v>
      </c>
      <c r="H72" s="35">
        <f>G72*E72</f>
        <v>90000</v>
      </c>
      <c r="I72" s="36">
        <v>0</v>
      </c>
      <c r="J72" s="37">
        <f>E72-I72</f>
        <v>10</v>
      </c>
      <c r="K72" s="18">
        <f t="shared" si="9"/>
        <v>0</v>
      </c>
      <c r="L72" s="18">
        <f t="shared" si="10"/>
        <v>0</v>
      </c>
      <c r="M72" s="38">
        <v>0</v>
      </c>
      <c r="N72" s="39">
        <f>M72*G72</f>
        <v>0</v>
      </c>
      <c r="P72" s="38">
        <v>10</v>
      </c>
      <c r="Q72" s="41">
        <v>18641</v>
      </c>
      <c r="R72" s="39">
        <f t="shared" si="11"/>
        <v>186410</v>
      </c>
      <c r="T72" s="38"/>
      <c r="U72" s="42">
        <f t="shared" si="12"/>
        <v>0</v>
      </c>
      <c r="V72" s="38"/>
      <c r="W72" s="42">
        <f t="shared" si="13"/>
        <v>0</v>
      </c>
      <c r="X72" s="38"/>
      <c r="Y72" s="42">
        <f t="shared" si="14"/>
        <v>0</v>
      </c>
      <c r="Z72" s="38"/>
      <c r="AA72" s="42">
        <f t="shared" si="15"/>
        <v>0</v>
      </c>
      <c r="AB72" s="43"/>
      <c r="AC72" s="44">
        <f t="shared" si="16"/>
        <v>0</v>
      </c>
      <c r="AE72" s="47">
        <f t="shared" si="17"/>
        <v>186410</v>
      </c>
    </row>
    <row r="73" spans="1:31" ht="41.25" customHeight="1" x14ac:dyDescent="0.25">
      <c r="A73" s="56">
        <v>63</v>
      </c>
      <c r="B73" s="56" t="s">
        <v>138</v>
      </c>
      <c r="C73" s="46" t="s">
        <v>139</v>
      </c>
      <c r="D73" s="48">
        <v>760242754</v>
      </c>
      <c r="E73" s="56">
        <v>10000</v>
      </c>
      <c r="F73" s="56" t="s">
        <v>156</v>
      </c>
      <c r="G73" s="61">
        <v>90</v>
      </c>
      <c r="H73" s="35">
        <f>G73*E73</f>
        <v>900000</v>
      </c>
      <c r="I73" s="36">
        <v>8644</v>
      </c>
      <c r="J73" s="37">
        <f>E73-I73</f>
        <v>1356</v>
      </c>
      <c r="K73" s="18">
        <f t="shared" si="9"/>
        <v>8644</v>
      </c>
      <c r="L73" s="18">
        <f t="shared" si="10"/>
        <v>0</v>
      </c>
      <c r="M73" s="38">
        <v>0</v>
      </c>
      <c r="N73" s="39">
        <f>M73*G73</f>
        <v>0</v>
      </c>
      <c r="P73" s="38">
        <v>10000</v>
      </c>
      <c r="Q73" s="41">
        <v>185</v>
      </c>
      <c r="R73" s="39">
        <f t="shared" si="11"/>
        <v>1850000</v>
      </c>
      <c r="T73" s="38"/>
      <c r="U73" s="42">
        <f t="shared" si="12"/>
        <v>0</v>
      </c>
      <c r="V73" s="38">
        <v>8644</v>
      </c>
      <c r="W73" s="42">
        <f t="shared" si="13"/>
        <v>1599140</v>
      </c>
      <c r="X73" s="38"/>
      <c r="Y73" s="42">
        <f t="shared" si="14"/>
        <v>0</v>
      </c>
      <c r="Z73" s="38"/>
      <c r="AA73" s="42">
        <f t="shared" si="15"/>
        <v>0</v>
      </c>
      <c r="AB73" s="43"/>
      <c r="AC73" s="44">
        <f t="shared" si="16"/>
        <v>0</v>
      </c>
      <c r="AE73" s="47">
        <f t="shared" si="17"/>
        <v>250860</v>
      </c>
    </row>
    <row r="74" spans="1:31" ht="41.25" customHeight="1" x14ac:dyDescent="0.25">
      <c r="A74" s="56">
        <v>64</v>
      </c>
      <c r="B74" s="56" t="s">
        <v>140</v>
      </c>
      <c r="C74" s="46" t="s">
        <v>141</v>
      </c>
      <c r="D74" s="48">
        <v>760053280</v>
      </c>
      <c r="E74" s="56">
        <v>2500</v>
      </c>
      <c r="F74" s="56" t="s">
        <v>156</v>
      </c>
      <c r="G74" s="61">
        <v>40</v>
      </c>
      <c r="H74" s="35">
        <f>G74*E74</f>
        <v>100000</v>
      </c>
      <c r="I74" s="36">
        <v>2500</v>
      </c>
      <c r="J74" s="37">
        <f>E74-I74</f>
        <v>0</v>
      </c>
      <c r="K74" s="18">
        <f t="shared" si="9"/>
        <v>2500</v>
      </c>
      <c r="L74" s="18">
        <f t="shared" si="10"/>
        <v>0</v>
      </c>
      <c r="M74" s="38">
        <v>0</v>
      </c>
      <c r="N74" s="39">
        <f>M74*G74</f>
        <v>0</v>
      </c>
      <c r="P74" s="38">
        <v>2500</v>
      </c>
      <c r="Q74" s="41">
        <v>82</v>
      </c>
      <c r="R74" s="39">
        <f t="shared" si="11"/>
        <v>205000</v>
      </c>
      <c r="T74" s="38"/>
      <c r="U74" s="42">
        <f t="shared" si="12"/>
        <v>0</v>
      </c>
      <c r="V74" s="38">
        <v>2500</v>
      </c>
      <c r="W74" s="42">
        <f t="shared" si="13"/>
        <v>205000</v>
      </c>
      <c r="X74" s="38"/>
      <c r="Y74" s="42">
        <f t="shared" si="14"/>
        <v>0</v>
      </c>
      <c r="Z74" s="38"/>
      <c r="AA74" s="42">
        <f t="shared" si="15"/>
        <v>0</v>
      </c>
      <c r="AB74" s="43"/>
      <c r="AC74" s="44">
        <f t="shared" si="16"/>
        <v>0</v>
      </c>
      <c r="AE74" s="47">
        <f t="shared" si="17"/>
        <v>0</v>
      </c>
    </row>
    <row r="75" spans="1:31" ht="41.25" customHeight="1" thickBot="1" x14ac:dyDescent="0.3">
      <c r="A75" s="56">
        <v>65</v>
      </c>
      <c r="B75" s="56" t="s">
        <v>142</v>
      </c>
      <c r="C75" s="46" t="s">
        <v>143</v>
      </c>
      <c r="D75" s="48">
        <v>760053314</v>
      </c>
      <c r="E75" s="56">
        <v>5000</v>
      </c>
      <c r="F75" s="56" t="s">
        <v>156</v>
      </c>
      <c r="G75" s="61">
        <v>50</v>
      </c>
      <c r="H75" s="35">
        <f>G75*E75</f>
        <v>250000</v>
      </c>
      <c r="I75" s="36">
        <v>5000</v>
      </c>
      <c r="J75" s="37">
        <f>E75-I75</f>
        <v>0</v>
      </c>
      <c r="K75" s="18">
        <f t="shared" si="9"/>
        <v>5000</v>
      </c>
      <c r="L75" s="18">
        <f t="shared" si="10"/>
        <v>0</v>
      </c>
      <c r="M75" s="66">
        <v>0</v>
      </c>
      <c r="N75" s="67">
        <f>M75*G75</f>
        <v>0</v>
      </c>
      <c r="P75" s="66">
        <v>5000</v>
      </c>
      <c r="Q75" s="68">
        <v>103</v>
      </c>
      <c r="R75" s="67">
        <f t="shared" si="11"/>
        <v>515000</v>
      </c>
      <c r="T75" s="66"/>
      <c r="U75" s="69">
        <f t="shared" si="12"/>
        <v>0</v>
      </c>
      <c r="V75" s="66">
        <v>5000</v>
      </c>
      <c r="W75" s="69">
        <f t="shared" si="13"/>
        <v>515000</v>
      </c>
      <c r="X75" s="66"/>
      <c r="Y75" s="69">
        <f t="shared" si="14"/>
        <v>0</v>
      </c>
      <c r="Z75" s="66"/>
      <c r="AA75" s="42">
        <f t="shared" si="15"/>
        <v>0</v>
      </c>
      <c r="AB75" s="43"/>
      <c r="AC75" s="70">
        <f t="shared" si="16"/>
        <v>0</v>
      </c>
      <c r="AE75" s="71">
        <f t="shared" si="17"/>
        <v>0</v>
      </c>
    </row>
    <row r="76" spans="1:31" x14ac:dyDescent="0.25">
      <c r="H76" s="72">
        <f>SUM(H6:H75)</f>
        <v>84623780</v>
      </c>
      <c r="N76" s="73">
        <f>SUM(N6:N75)</f>
        <v>49044510</v>
      </c>
      <c r="R76" s="73">
        <f>SUM(R6:R75)</f>
        <v>73728656</v>
      </c>
      <c r="U76" s="73">
        <f>SUM(U6:U75)</f>
        <v>10596189</v>
      </c>
      <c r="W76" s="73">
        <f>SUM(W6:W75)</f>
        <v>9291361</v>
      </c>
      <c r="Y76" s="73">
        <f>SUM(Y6:Y75)</f>
        <v>7978738</v>
      </c>
      <c r="AA76" s="73">
        <f>SUM(AA6:AA75)</f>
        <v>6611925</v>
      </c>
      <c r="AB76" s="73"/>
      <c r="AC76" s="73">
        <f>SUM(AC6:AC75)</f>
        <v>0</v>
      </c>
      <c r="AE76" s="73">
        <f>SUM(AE6:AE75)</f>
        <v>32238287</v>
      </c>
    </row>
    <row r="81" spans="12:21" x14ac:dyDescent="0.25">
      <c r="L81" s="74"/>
      <c r="T81" s="73">
        <f>R76-(U76+W76+Y76+AE76)</f>
        <v>13624081</v>
      </c>
    </row>
    <row r="82" spans="12:21" x14ac:dyDescent="0.25">
      <c r="U82" s="73"/>
    </row>
  </sheetData>
  <autoFilter ref="A5:AE76" xr:uid="{00000000-0001-0000-0000-000000000000}">
    <filterColumn colId="12" showButton="0"/>
    <filterColumn colId="15" showButton="0"/>
    <filterColumn colId="16" showButton="0"/>
    <filterColumn colId="19" showButton="0"/>
    <filterColumn colId="21" showButton="0"/>
    <filterColumn colId="23" showButton="0"/>
  </autoFilter>
  <mergeCells count="8">
    <mergeCell ref="G1:H4"/>
    <mergeCell ref="M4:N5"/>
    <mergeCell ref="C2:D3"/>
    <mergeCell ref="Z5:AA5"/>
    <mergeCell ref="P4:R5"/>
    <mergeCell ref="T5:U5"/>
    <mergeCell ref="V5:W5"/>
    <mergeCell ref="X5:Y5"/>
  </mergeCells>
  <conditionalFormatting sqref="J6:J75">
    <cfRule type="cellIs" dxfId="5" priority="4" operator="lessThan">
      <formula>0</formula>
    </cfRule>
    <cfRule type="cellIs" dxfId="4" priority="5" operator="equal">
      <formula>0</formula>
    </cfRule>
    <cfRule type="cellIs" dxfId="3" priority="6" operator="greaterThan">
      <formula>0</formula>
    </cfRule>
  </conditionalFormatting>
  <conditionalFormatting sqref="L6:L75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printOptions gridLines="1"/>
  <pageMargins left="0.70866141732283472" right="0.70866141732283472" top="0.94488188976377963" bottom="0.74803149606299213" header="0.31496062992125984" footer="0.31496062992125984"/>
  <pageSetup paperSize="9" scale="81" fitToHeight="0" orientation="landscape" r:id="rId1"/>
  <headerFooter>
    <oddHeader>&amp;C&amp;"-,Bold"&amp;UHuawei Consortium/2022/4</oddHeader>
    <oddFooter>&amp;L&amp;P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3539-2CE0-4F53-A1AF-1D8987282F7E}">
  <dimension ref="A1:H19"/>
  <sheetViews>
    <sheetView rightToLeft="1" view="pageBreakPreview" zoomScale="44" zoomScaleNormal="89" workbookViewId="0">
      <selection activeCell="C4" sqref="C4"/>
    </sheetView>
  </sheetViews>
  <sheetFormatPr defaultRowHeight="15" x14ac:dyDescent="0.25"/>
  <cols>
    <col min="1" max="1" width="14" style="1" customWidth="1"/>
    <col min="2" max="2" width="73" customWidth="1"/>
    <col min="3" max="3" width="148.42578125" style="1" customWidth="1"/>
    <col min="4" max="4" width="51.42578125" style="1" customWidth="1"/>
    <col min="5" max="5" width="26.85546875" style="1" customWidth="1"/>
    <col min="6" max="6" width="16.85546875" style="2" customWidth="1"/>
    <col min="7" max="7" width="0" hidden="1" customWidth="1"/>
    <col min="8" max="8" width="21.85546875" style="1" customWidth="1"/>
  </cols>
  <sheetData>
    <row r="1" spans="1:8" ht="15.75" thickBot="1" x14ac:dyDescent="0.3"/>
    <row r="2" spans="1:8" ht="87" customHeight="1" x14ac:dyDescent="0.25">
      <c r="A2" s="3" t="s">
        <v>0</v>
      </c>
      <c r="B2" s="4" t="s">
        <v>1</v>
      </c>
      <c r="C2" s="4" t="s">
        <v>3</v>
      </c>
      <c r="D2" s="4" t="s">
        <v>4</v>
      </c>
      <c r="E2" s="5" t="s">
        <v>148</v>
      </c>
      <c r="F2" s="5" t="s">
        <v>2</v>
      </c>
      <c r="G2" s="5" t="s">
        <v>7</v>
      </c>
      <c r="H2" s="6" t="s">
        <v>165</v>
      </c>
    </row>
    <row r="3" spans="1:8" ht="143.44999999999999" customHeight="1" x14ac:dyDescent="0.25">
      <c r="A3" s="7">
        <v>1</v>
      </c>
      <c r="B3" s="8" t="s">
        <v>11</v>
      </c>
      <c r="C3" s="8" t="s">
        <v>12</v>
      </c>
      <c r="D3" s="8" t="s">
        <v>13</v>
      </c>
      <c r="E3" s="9" t="s">
        <v>149</v>
      </c>
      <c r="F3" s="8">
        <v>169</v>
      </c>
      <c r="G3" s="8">
        <v>169</v>
      </c>
      <c r="H3" s="10" t="b">
        <f t="shared" ref="H3:H19" si="0">F3=G3</f>
        <v>1</v>
      </c>
    </row>
    <row r="4" spans="1:8" ht="143.44999999999999" customHeight="1" x14ac:dyDescent="0.25">
      <c r="A4" s="7">
        <v>2</v>
      </c>
      <c r="B4" s="8" t="s">
        <v>14</v>
      </c>
      <c r="C4" s="8" t="s">
        <v>15</v>
      </c>
      <c r="D4" s="8" t="s">
        <v>16</v>
      </c>
      <c r="E4" s="9" t="s">
        <v>149</v>
      </c>
      <c r="F4" s="8">
        <v>179</v>
      </c>
      <c r="G4" s="8">
        <v>179</v>
      </c>
      <c r="H4" s="10" t="b">
        <f t="shared" si="0"/>
        <v>1</v>
      </c>
    </row>
    <row r="5" spans="1:8" ht="143.44999999999999" customHeight="1" x14ac:dyDescent="0.25">
      <c r="A5" s="7">
        <v>3</v>
      </c>
      <c r="B5" s="8" t="s">
        <v>17</v>
      </c>
      <c r="C5" s="8" t="s">
        <v>18</v>
      </c>
      <c r="D5" s="8" t="s">
        <v>19</v>
      </c>
      <c r="E5" s="9" t="s">
        <v>149</v>
      </c>
      <c r="F5" s="8">
        <v>22</v>
      </c>
      <c r="G5" s="8">
        <v>22</v>
      </c>
      <c r="H5" s="10" t="b">
        <f t="shared" si="0"/>
        <v>1</v>
      </c>
    </row>
    <row r="6" spans="1:8" ht="143.44999999999999" customHeight="1" x14ac:dyDescent="0.25">
      <c r="A6" s="7">
        <v>4</v>
      </c>
      <c r="B6" s="8" t="s">
        <v>20</v>
      </c>
      <c r="C6" s="8" t="s">
        <v>21</v>
      </c>
      <c r="D6" s="8" t="s">
        <v>22</v>
      </c>
      <c r="E6" s="9" t="s">
        <v>149</v>
      </c>
      <c r="F6" s="8">
        <v>19</v>
      </c>
      <c r="G6" s="8">
        <v>19</v>
      </c>
      <c r="H6" s="10" t="b">
        <f t="shared" si="0"/>
        <v>1</v>
      </c>
    </row>
    <row r="7" spans="1:8" ht="143.44999999999999" customHeight="1" x14ac:dyDescent="0.25">
      <c r="A7" s="7">
        <v>5</v>
      </c>
      <c r="B7" s="8" t="s">
        <v>27</v>
      </c>
      <c r="C7" s="8" t="s">
        <v>28</v>
      </c>
      <c r="D7" s="8" t="s">
        <v>144</v>
      </c>
      <c r="E7" s="9" t="s">
        <v>149</v>
      </c>
      <c r="F7" s="8">
        <v>1028</v>
      </c>
      <c r="G7" s="8">
        <v>1028</v>
      </c>
      <c r="H7" s="10" t="b">
        <f t="shared" si="0"/>
        <v>1</v>
      </c>
    </row>
    <row r="8" spans="1:8" ht="143.44999999999999" customHeight="1" x14ac:dyDescent="0.25">
      <c r="A8" s="7">
        <v>6</v>
      </c>
      <c r="B8" s="8" t="s">
        <v>29</v>
      </c>
      <c r="C8" s="8" t="s">
        <v>30</v>
      </c>
      <c r="D8" s="8" t="s">
        <v>31</v>
      </c>
      <c r="E8" s="9" t="s">
        <v>149</v>
      </c>
      <c r="F8" s="8">
        <v>70</v>
      </c>
      <c r="G8" s="8">
        <v>70</v>
      </c>
      <c r="H8" s="10" t="b">
        <f t="shared" si="0"/>
        <v>1</v>
      </c>
    </row>
    <row r="9" spans="1:8" ht="143.44999999999999" customHeight="1" x14ac:dyDescent="0.25">
      <c r="A9" s="7">
        <v>7</v>
      </c>
      <c r="B9" s="8" t="s">
        <v>32</v>
      </c>
      <c r="C9" s="8" t="s">
        <v>33</v>
      </c>
      <c r="D9" s="8" t="s">
        <v>34</v>
      </c>
      <c r="E9" s="9" t="s">
        <v>149</v>
      </c>
      <c r="F9" s="8">
        <v>7</v>
      </c>
      <c r="G9" s="8">
        <v>7</v>
      </c>
      <c r="H9" s="10" t="b">
        <f t="shared" si="0"/>
        <v>1</v>
      </c>
    </row>
    <row r="10" spans="1:8" ht="143.44999999999999" customHeight="1" x14ac:dyDescent="0.25">
      <c r="A10" s="7">
        <v>8</v>
      </c>
      <c r="B10" s="8" t="s">
        <v>40</v>
      </c>
      <c r="C10" s="8" t="s">
        <v>41</v>
      </c>
      <c r="D10" s="8" t="s">
        <v>19</v>
      </c>
      <c r="E10" s="9" t="s">
        <v>149</v>
      </c>
      <c r="F10" s="8">
        <v>4</v>
      </c>
      <c r="G10" s="8">
        <v>4</v>
      </c>
      <c r="H10" s="10" t="b">
        <f t="shared" si="0"/>
        <v>1</v>
      </c>
    </row>
    <row r="11" spans="1:8" ht="143.44999999999999" customHeight="1" x14ac:dyDescent="0.25">
      <c r="A11" s="7">
        <v>9</v>
      </c>
      <c r="B11" s="8" t="s">
        <v>166</v>
      </c>
      <c r="C11" s="8" t="s">
        <v>35</v>
      </c>
      <c r="D11" s="8" t="s">
        <v>36</v>
      </c>
      <c r="E11" s="9" t="s">
        <v>149</v>
      </c>
      <c r="F11" s="8">
        <v>3</v>
      </c>
      <c r="G11" s="8">
        <v>0</v>
      </c>
      <c r="H11" s="10" t="b">
        <f t="shared" si="0"/>
        <v>0</v>
      </c>
    </row>
    <row r="12" spans="1:8" ht="143.44999999999999" customHeight="1" x14ac:dyDescent="0.25">
      <c r="A12" s="7">
        <v>10</v>
      </c>
      <c r="B12" s="8" t="s">
        <v>37</v>
      </c>
      <c r="C12" s="8" t="s">
        <v>38</v>
      </c>
      <c r="D12" s="8" t="s">
        <v>39</v>
      </c>
      <c r="E12" s="8" t="s">
        <v>149</v>
      </c>
      <c r="F12" s="8">
        <v>4</v>
      </c>
      <c r="G12" s="8">
        <v>0</v>
      </c>
      <c r="H12" s="10" t="b">
        <f t="shared" si="0"/>
        <v>0</v>
      </c>
    </row>
    <row r="13" spans="1:8" ht="143.44999999999999" customHeight="1" x14ac:dyDescent="0.25">
      <c r="A13" s="7">
        <v>11</v>
      </c>
      <c r="B13" s="8" t="s">
        <v>42</v>
      </c>
      <c r="C13" s="8" t="s">
        <v>43</v>
      </c>
      <c r="D13" s="8" t="s">
        <v>44</v>
      </c>
      <c r="E13" s="9" t="s">
        <v>149</v>
      </c>
      <c r="F13" s="8">
        <v>2</v>
      </c>
      <c r="G13" s="8">
        <v>0</v>
      </c>
      <c r="H13" s="10" t="b">
        <f t="shared" si="0"/>
        <v>0</v>
      </c>
    </row>
    <row r="14" spans="1:8" ht="143.44999999999999" customHeight="1" x14ac:dyDescent="0.25">
      <c r="A14" s="7">
        <v>12</v>
      </c>
      <c r="B14" s="11" t="s">
        <v>54</v>
      </c>
      <c r="C14" s="8" t="s">
        <v>55</v>
      </c>
      <c r="D14" s="8" t="s">
        <v>56</v>
      </c>
      <c r="E14" s="11" t="s">
        <v>149</v>
      </c>
      <c r="F14" s="11">
        <v>1</v>
      </c>
      <c r="G14" s="8">
        <v>0</v>
      </c>
      <c r="H14" s="10" t="b">
        <f t="shared" si="0"/>
        <v>0</v>
      </c>
    </row>
    <row r="15" spans="1:8" ht="143.44999999999999" customHeight="1" x14ac:dyDescent="0.25">
      <c r="A15" s="7">
        <v>13</v>
      </c>
      <c r="B15" s="11" t="s">
        <v>57</v>
      </c>
      <c r="C15" s="8" t="s">
        <v>58</v>
      </c>
      <c r="D15" s="8" t="s">
        <v>59</v>
      </c>
      <c r="E15" s="11" t="s">
        <v>149</v>
      </c>
      <c r="F15" s="11">
        <v>2</v>
      </c>
      <c r="G15" s="8">
        <v>0</v>
      </c>
      <c r="H15" s="10" t="b">
        <f t="shared" si="0"/>
        <v>0</v>
      </c>
    </row>
    <row r="16" spans="1:8" ht="143.44999999999999" customHeight="1" x14ac:dyDescent="0.25">
      <c r="A16" s="7">
        <v>14</v>
      </c>
      <c r="B16" s="8" t="s">
        <v>60</v>
      </c>
      <c r="C16" s="8" t="s">
        <v>61</v>
      </c>
      <c r="D16" s="8" t="s">
        <v>62</v>
      </c>
      <c r="E16" s="11" t="s">
        <v>149</v>
      </c>
      <c r="F16" s="11">
        <v>2</v>
      </c>
      <c r="G16" s="8">
        <v>0</v>
      </c>
      <c r="H16" s="10" t="b">
        <f t="shared" si="0"/>
        <v>0</v>
      </c>
    </row>
    <row r="17" spans="1:8" ht="143.44999999999999" customHeight="1" x14ac:dyDescent="0.25">
      <c r="A17" s="7">
        <v>15</v>
      </c>
      <c r="B17" s="8" t="s">
        <v>63</v>
      </c>
      <c r="C17" s="8" t="s">
        <v>64</v>
      </c>
      <c r="D17" s="8" t="s">
        <v>65</v>
      </c>
      <c r="E17" s="11" t="s">
        <v>149</v>
      </c>
      <c r="F17" s="11">
        <v>2</v>
      </c>
      <c r="G17" s="8">
        <v>0</v>
      </c>
      <c r="H17" s="10" t="b">
        <f t="shared" si="0"/>
        <v>0</v>
      </c>
    </row>
    <row r="18" spans="1:8" ht="143.44999999999999" customHeight="1" x14ac:dyDescent="0.25">
      <c r="A18" s="7">
        <v>16</v>
      </c>
      <c r="B18" s="11" t="s">
        <v>167</v>
      </c>
      <c r="C18" s="8" t="s">
        <v>70</v>
      </c>
      <c r="D18" s="8" t="s">
        <v>145</v>
      </c>
      <c r="E18" s="11" t="s">
        <v>149</v>
      </c>
      <c r="F18" s="11">
        <v>2</v>
      </c>
      <c r="G18" s="8">
        <v>0</v>
      </c>
      <c r="H18" s="10" t="b">
        <f t="shared" si="0"/>
        <v>0</v>
      </c>
    </row>
    <row r="19" spans="1:8" ht="143.44999999999999" customHeight="1" thickBot="1" x14ac:dyDescent="0.3">
      <c r="A19" s="7">
        <v>17</v>
      </c>
      <c r="B19" s="12" t="s">
        <v>168</v>
      </c>
      <c r="C19" s="13" t="s">
        <v>79</v>
      </c>
      <c r="D19" s="13" t="s">
        <v>168</v>
      </c>
      <c r="E19" s="12" t="s">
        <v>149</v>
      </c>
      <c r="F19" s="12">
        <v>1</v>
      </c>
      <c r="G19" s="13">
        <v>0</v>
      </c>
      <c r="H19" s="14" t="b">
        <f t="shared" si="0"/>
        <v>0</v>
      </c>
    </row>
  </sheetData>
  <autoFilter ref="A2:H19" xr:uid="{AE663539-2CE0-4F53-A1AF-1D8987282F7E}">
    <sortState xmlns:xlrd2="http://schemas.microsoft.com/office/spreadsheetml/2017/richdata2" ref="A3:H19">
      <sortCondition descending="1" ref="H2:H19"/>
    </sortState>
  </autoFilter>
  <pageMargins left="0.7" right="0.7" top="0.75" bottom="0.75" header="0.3" footer="0.3"/>
  <pageSetup paperSize="9" scale="2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فواتير التوريد</vt:lpstr>
      <vt:lpstr>Sheet1</vt:lpstr>
      <vt:lpstr>Sheet1!Print_Area</vt:lpstr>
      <vt:lpstr>'فواتير التوريد'!Print_Area</vt:lpstr>
      <vt:lpstr>'فواتير التوريد'!Print_Titles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 Hisham</dc:creator>
  <cp:lastModifiedBy>Esraa Mohsen</cp:lastModifiedBy>
  <cp:lastPrinted>2026-02-08T13:46:12Z</cp:lastPrinted>
  <dcterms:created xsi:type="dcterms:W3CDTF">2025-10-14T09:44:12Z</dcterms:created>
  <dcterms:modified xsi:type="dcterms:W3CDTF">2026-09-13T08:39:28Z</dcterms:modified>
</cp:coreProperties>
</file>